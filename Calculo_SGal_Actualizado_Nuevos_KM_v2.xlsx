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c9b972ff8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M actualizados" sheetId="1" r:id="Ra6b132a6187f4c3e"/>
    <x:sheet xmlns:r="http://schemas.openxmlformats.org/officeDocument/2006/relationships" name="Ene-Mar 2026" sheetId="2" r:id="R99dc84c8ab60428e"/>
    <x:sheet xmlns:r="http://schemas.openxmlformats.org/officeDocument/2006/relationships" name="Actual Abr-26" sheetId="3" r:id="R76af4d34ae224dd6"/>
    <x:sheet xmlns:r="http://schemas.openxmlformats.org/officeDocument/2006/relationships" name="Supuestos" sheetId="4" r:id="R6d2d1f5d2300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S/ #,##0.00"/>
    <x:numFmt numFmtId="202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c079031e94e66" /><Relationship Type="http://schemas.openxmlformats.org/officeDocument/2006/relationships/theme" Target="/xl/theme/theme1.xml" Id="R8598d6d188fb4e98" /><Relationship Type="http://schemas.openxmlformats.org/officeDocument/2006/relationships/sharedStrings" Target="/xl/sharedStrings.xml" Id="R39bf321742ed4b21" /><Relationship Type="http://schemas.openxmlformats.org/officeDocument/2006/relationships/worksheet" Target="/xl/worksheets/sheet1.xml" Id="Ra6b132a6187f4c3e" /><Relationship Type="http://schemas.openxmlformats.org/officeDocument/2006/relationships/worksheet" Target="/xl/worksheets/sheet2.xml" Id="R99dc84c8ab60428e" /><Relationship Type="http://schemas.openxmlformats.org/officeDocument/2006/relationships/worksheet" Target="/xl/worksheets/sheet3.xml" Id="R76af4d34ae224dd6" /><Relationship Type="http://schemas.openxmlformats.org/officeDocument/2006/relationships/worksheet" Target="/xl/worksheets/sheet4.xml" Id="R6d2d1f5d230044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75" hidden="0" customWidth="1"/>
  </x:cols>
  <x:sheetData>
    <x:row r="1">
      <x:c r="A1" s="4" t="str">
        <x:v>Ruta</x:v>
      </x:c>
      <x:c r="B1" s="4" t="str">
        <x:v>Km ida usado</x:v>
      </x:c>
      <x:c r="C1" s="4" t="str">
        <x:v>× Vuelta</x:v>
      </x:c>
      <x:c r="D1" s="4" t="str">
        <x:v>× Operativo</x:v>
      </x:c>
      <x:c r="E1" s="4" t="str">
        <x:v>Km final</x:v>
      </x:c>
      <x:c r="F1" s="4" t="str">
        <x:v>Fuente</x:v>
      </x:c>
      <x:c r="G1" s="4" t="str">
        <x:v>Tramos utilizados</x:v>
      </x:c>
    </x:row>
    <x:row r="2">
      <x:c r="A2" t="str">
        <x:v>Ancash - Chimbote</x:v>
      </x:c>
      <x:c r="B2" s="14" t="n">
        <x:v>635</x:v>
      </x:c>
      <x:c r="C2" s="14" t="n">
        <x:v>2</x:v>
      </x:c>
      <x:c r="D2" s="14" t="n">
        <x:v>1.15</x:v>
      </x:c>
      <x:c r="E2" s="14" t="n">
        <x:v>1460.5</x:v>
      </x:c>
      <x:c r="F2" t="str">
        <x:v>Nuevo archivo</x:v>
      </x:c>
      <x:c r="G2" t="str">
        <x:v>Hub Lurin → Ate (35 km) | Ate → Huaraz (400 km) | Huaraz → Chimbote (200 km)</x:v>
      </x:c>
    </x:row>
    <x:row r="3">
      <x:c r="A3" t="str">
        <x:v>Arequipa</x:v>
      </x:c>
      <x:c r="B3" s="14" t="n">
        <x:v>1020</x:v>
      </x:c>
      <x:c r="C3" s="14" t="n">
        <x:v>2</x:v>
      </x:c>
      <x:c r="D3" s="14" t="n">
        <x:v>1.15</x:v>
      </x:c>
      <x:c r="E3" s="14" t="n">
        <x:v>2346</x:v>
      </x:c>
      <x:c r="F3" t="str">
        <x:v>Nuevo archivo</x:v>
      </x:c>
      <x:c r="G3" t="str">
        <x:v>Hub Lurin → Arequipa (1020 km)</x:v>
      </x:c>
    </x:row>
    <x:row r="4">
      <x:c r="A4" t="str">
        <x:v>Arequipa - Cusco</x:v>
      </x:c>
      <x:c r="B4" s="14" t="n">
        <x:v>1530</x:v>
      </x:c>
      <x:c r="C4" s="14" t="n">
        <x:v>2</x:v>
      </x:c>
      <x:c r="D4" s="14" t="n">
        <x:v>1.15</x:v>
      </x:c>
      <x:c r="E4" s="14" t="n">
        <x:v>3518.9999999999995</x:v>
      </x:c>
      <x:c r="F4" t="str">
        <x:v>Nuevo archivo</x:v>
      </x:c>
      <x:c r="G4" t="str">
        <x:v>Hub Lurin → Arequipa (1020 km) | Arequipa → Cusco (510 km)</x:v>
      </x:c>
    </x:row>
    <x:row r="5">
      <x:c r="A5" t="str">
        <x:v>Arequipa - Juliaca</x:v>
      </x:c>
      <x:c r="B5" s="14" t="n">
        <x:v>2060</x:v>
      </x:c>
      <x:c r="C5" s="14" t="n">
        <x:v>2</x:v>
      </x:c>
      <x:c r="D5" s="14" t="n">
        <x:v>1.15</x:v>
      </x:c>
      <x:c r="E5" s="14" t="n">
        <x:v>4738</x:v>
      </x:c>
      <x:c r="F5" t="str">
        <x:v>Nuevo archivo</x:v>
      </x:c>
      <x:c r="G5" t="str">
        <x:v>Hub Lurin → Arequipa (1020 km) | Arequipa → Ilo (380 km) | Ilo → Tacna (150 km) | Tacna → Juliaca (510 km)</x:v>
      </x:c>
    </x:row>
    <x:row r="6">
      <x:c r="A6" t="str">
        <x:v>Arequipa - Juliaca - Cusco</x:v>
      </x:c>
      <x:c r="B6" s="14" t="n">
        <x:v>1357.5</x:v>
      </x:c>
      <x:c r="C6" s="14" t="n">
        <x:v>2</x:v>
      </x:c>
      <x:c r="D6" s="14" t="n">
        <x:v>1.15</x:v>
      </x:c>
      <x:c r="E6" s="14" t="n">
        <x:v>3122.2499999999995</x:v>
      </x:c>
      <x:c r="F6" t="str">
        <x:v>Fallback: km anterior × 1.15</x:v>
      </x:c>
      <x:c r="G6" t="str">
        <x:v>Ruta completa no disponible en un mismo recorrido del archivo</x:v>
      </x:c>
    </x:row>
    <x:row r="7">
      <x:c r="A7" t="str">
        <x:v>Ayacucho</x:v>
      </x:c>
      <x:c r="B7" s="14" t="n">
        <x:v>600</x:v>
      </x:c>
      <x:c r="C7" s="14" t="n">
        <x:v>2</x:v>
      </x:c>
      <x:c r="D7" s="14" t="n">
        <x:v>1.15</x:v>
      </x:c>
      <x:c r="E7" s="14" t="n">
        <x:v>1380</x:v>
      </x:c>
      <x:c r="F7" t="str">
        <x:v>Nuevo archivo</x:v>
      </x:c>
      <x:c r="G7" t="str">
        <x:v>Hub Lurin → Ate (35 km) | Ate → Ayacucho (565 km)</x:v>
      </x:c>
    </x:row>
    <x:row r="8">
      <x:c r="A8" t="str">
        <x:v>Ayacucho - Huancavelica - Huanuco</x:v>
      </x:c>
      <x:c r="B8" s="14" t="n">
        <x:v>850</x:v>
      </x:c>
      <x:c r="C8" s="14" t="n">
        <x:v>2</x:v>
      </x:c>
      <x:c r="D8" s="14" t="n">
        <x:v>1.15</x:v>
      </x:c>
      <x:c r="E8" s="14" t="n">
        <x:v>1954.9999999999998</x:v>
      </x:c>
      <x:c r="F8" t="str">
        <x:v>Fallback: km anterior × 1.15</x:v>
      </x:c>
      <x:c r="G8" t="str">
        <x:v>Ruta completa no disponible en un mismo recorrido del archivo</x:v>
      </x:c>
    </x:row>
    <x:row r="9">
      <x:c r="A9" t="str">
        <x:v>Cañete - Ica - Nazca</x:v>
      </x:c>
      <x:c r="B9" s="14" t="n">
        <x:v>419</x:v>
      </x:c>
      <x:c r="C9" s="14" t="n">
        <x:v>2</x:v>
      </x:c>
      <x:c r="D9" s="14" t="n">
        <x:v>1.15</x:v>
      </x:c>
      <x:c r="E9" s="14" t="n">
        <x:v>963.6999999999999</x:v>
      </x:c>
      <x:c r="F9" t="str">
        <x:v>Fallback: km anterior × 1.15</x:v>
      </x:c>
      <x:c r="G9" t="str">
        <x:v>Ruta completa no disponible en un mismo recorrido del archivo</x:v>
      </x:c>
    </x:row>
    <x:row r="10">
      <x:c r="A10" t="str">
        <x:v>Chiclayo</x:v>
      </x:c>
      <x:c r="B10" s="14" t="n">
        <x:v>775</x:v>
      </x:c>
      <x:c r="C10" s="14" t="n">
        <x:v>2</x:v>
      </x:c>
      <x:c r="D10" s="14" t="n">
        <x:v>1.15</x:v>
      </x:c>
      <x:c r="E10" s="14" t="n">
        <x:v>1782.4999999999998</x:v>
      </x:c>
      <x:c r="F10" t="str">
        <x:v>Nuevo archivo</x:v>
      </x:c>
      <x:c r="G10" t="str">
        <x:v>Hub Lurin → Chiclayo (775 km)</x:v>
      </x:c>
    </x:row>
    <x:row r="11">
      <x:c r="A11" t="str">
        <x:v>Chiclayo - Motupe - Cajamarca</x:v>
      </x:c>
      <x:c r="B11" s="14" t="n">
        <x:v>980</x:v>
      </x:c>
      <x:c r="C11" s="14" t="n">
        <x:v>2</x:v>
      </x:c>
      <x:c r="D11" s="14" t="n">
        <x:v>1.15</x:v>
      </x:c>
      <x:c r="E11" s="14" t="n">
        <x:v>2254</x:v>
      </x:c>
      <x:c r="F11" t="str">
        <x:v>Nuevo archivo</x:v>
      </x:c>
      <x:c r="G11" t="str">
        <x:v>Hub Lurin → Chiclayo (775 km) | Chiclayo → Motupe (80 km) | Motupe → Cajamarca (125 km)</x:v>
      </x:c>
    </x:row>
    <x:row r="12">
      <x:c r="A12" t="str">
        <x:v>Chiclayo - Piura</x:v>
      </x:c>
      <x:c r="B12" s="14" t="n">
        <x:v>1007.5</x:v>
      </x:c>
      <x:c r="C12" s="14" t="n">
        <x:v>2</x:v>
      </x:c>
      <x:c r="D12" s="14" t="n">
        <x:v>1.15</x:v>
      </x:c>
      <x:c r="E12" s="14" t="n">
        <x:v>2317.25</x:v>
      </x:c>
      <x:c r="F12" t="str">
        <x:v>Fallback: km anterior × 1.15</x:v>
      </x:c>
      <x:c r="G12" t="str">
        <x:v>Ruta completa no disponible en un mismo recorrido del archivo</x:v>
      </x:c>
    </x:row>
    <x:row r="13">
      <x:c r="A13" t="str">
        <x:v>Chiclayo - Trujillo</x:v>
      </x:c>
      <x:c r="B13" s="14" t="n">
        <x:v>800</x:v>
      </x:c>
      <x:c r="C13" s="14" t="n">
        <x:v>2</x:v>
      </x:c>
      <x:c r="D13" s="14" t="n">
        <x:v>1.15</x:v>
      </x:c>
      <x:c r="E13" s="14" t="n">
        <x:v>1839.9999999999998</x:v>
      </x:c>
      <x:c r="F13" t="str">
        <x:v>Fallback: km anterior × 1.15</x:v>
      </x:c>
      <x:c r="G13" t="str">
        <x:v>Ruta completa no disponible en un mismo recorrido del archivo</x:v>
      </x:c>
    </x:row>
    <x:row r="14">
      <x:c r="A14" t="str">
        <x:v>Chiclayo - Motupe</x:v>
      </x:c>
      <x:c r="B14" s="14" t="n">
        <x:v>855</x:v>
      </x:c>
      <x:c r="C14" s="14" t="n">
        <x:v>2</x:v>
      </x:c>
      <x:c r="D14" s="14" t="n">
        <x:v>1.15</x:v>
      </x:c>
      <x:c r="E14" s="14" t="n">
        <x:v>1966.4999999999998</x:v>
      </x:c>
      <x:c r="F14" t="str">
        <x:v>Nuevo archivo</x:v>
      </x:c>
      <x:c r="G14" t="str">
        <x:v>Hub Lurin → Chiclayo (775 km) | Chiclayo → Motupe (80 km)</x:v>
      </x:c>
    </x:row>
    <x:row r="15">
      <x:c r="A15" t="str">
        <x:v>Cusco</x:v>
      </x:c>
      <x:c r="B15" s="14" t="n">
        <x:v>1450</x:v>
      </x:c>
      <x:c r="C15" s="14" t="n">
        <x:v>2</x:v>
      </x:c>
      <x:c r="D15" s="14" t="n">
        <x:v>1.15</x:v>
      </x:c>
      <x:c r="E15" s="14" t="n">
        <x:v>3334.9999999999995</x:v>
      </x:c>
      <x:c r="F15" t="str">
        <x:v>Nuevo archivo</x:v>
      </x:c>
      <x:c r="G15" t="str">
        <x:v>Hub Lurin → Cusco (1450 km)</x:v>
      </x:c>
    </x:row>
    <x:row r="16">
      <x:c r="A16" t="str">
        <x:v>Cusco - Juliaca</x:v>
      </x:c>
      <x:c r="B16" s="14" t="n">
        <x:v>1367.5</x:v>
      </x:c>
      <x:c r="C16" s="14" t="n">
        <x:v>2</x:v>
      </x:c>
      <x:c r="D16" s="14" t="n">
        <x:v>1.15</x:v>
      </x:c>
      <x:c r="E16" s="14" t="n">
        <x:v>3145.2499999999995</x:v>
      </x:c>
      <x:c r="F16" t="str">
        <x:v>Fallback: km anterior × 1.15</x:v>
      </x:c>
      <x:c r="G16" t="str">
        <x:v>Ruta completa no disponible en un mismo recorrido del archivo</x:v>
      </x:c>
    </x:row>
    <x:row r="17">
      <x:c r="A17" t="str">
        <x:v>Huancayo</x:v>
      </x:c>
      <x:c r="B17" s="14" t="n">
        <x:v>900</x:v>
      </x:c>
      <x:c r="C17" s="14" t="n">
        <x:v>2</x:v>
      </x:c>
      <x:c r="D17" s="14" t="n">
        <x:v>1.15</x:v>
      </x:c>
      <x:c r="E17" s="14" t="n">
        <x:v>2070</x:v>
      </x:c>
      <x:c r="F17" t="str">
        <x:v>Nuevo archivo</x:v>
      </x:c>
      <x:c r="G17" t="str">
        <x:v>Hub Lurin → Ate (35 km) | Ate → Ayacucho (565 km) | Ayacucho → Huancayo (300 km)</x:v>
      </x:c>
    </x:row>
    <x:row r="18">
      <x:c r="A18" t="str">
        <x:v>Huancayo - Huancavelica - Ayacucho</x:v>
      </x:c>
      <x:c r="B18" s="14" t="n">
        <x:v>630</x:v>
      </x:c>
      <x:c r="C18" s="14" t="n">
        <x:v>2</x:v>
      </x:c>
      <x:c r="D18" s="14" t="n">
        <x:v>1.15</x:v>
      </x:c>
      <x:c r="E18" s="14" t="n">
        <x:v>1449</x:v>
      </x:c>
      <x:c r="F18" t="str">
        <x:v>Fallback: km anterior × 1.15</x:v>
      </x:c>
      <x:c r="G18" t="str">
        <x:v>Ruta completa no disponible en un mismo recorrido del archivo</x:v>
      </x:c>
    </x:row>
    <x:row r="19">
      <x:c r="A19" t="str">
        <x:v>Huanuco - Pucallpa</x:v>
      </x:c>
      <x:c r="B19" s="14" t="n">
        <x:v>825</x:v>
      </x:c>
      <x:c r="C19" s="14" t="n">
        <x:v>2</x:v>
      </x:c>
      <x:c r="D19" s="14" t="n">
        <x:v>1.15</x:v>
      </x:c>
      <x:c r="E19" s="14" t="n">
        <x:v>1897.4999999999998</x:v>
      </x:c>
      <x:c r="F19" t="str">
        <x:v>Nuevo archivo</x:v>
      </x:c>
      <x:c r="G19" t="str">
        <x:v>Hub Lurin → Huanuco (410 km) | Huanuco → Tingo Maria (125 km) | Tingo Maria → Pucallpa (290 km)</x:v>
      </x:c>
    </x:row>
    <x:row r="20">
      <x:c r="A20" t="str">
        <x:v>Huanuco - Tingo Maria</x:v>
      </x:c>
      <x:c r="B20" s="14" t="n">
        <x:v>535</x:v>
      </x:c>
      <x:c r="C20" s="14" t="n">
        <x:v>2</x:v>
      </x:c>
      <x:c r="D20" s="14" t="n">
        <x:v>1.15</x:v>
      </x:c>
      <x:c r="E20" s="14" t="n">
        <x:v>1230.5</x:v>
      </x:c>
      <x:c r="F20" t="str">
        <x:v>Nuevo archivo</x:v>
      </x:c>
      <x:c r="G20" t="str">
        <x:v>Hub Lurin → Huanuco (410 km) | Huanuco → Tingo Maria (125 km)</x:v>
      </x:c>
    </x:row>
    <x:row r="21">
      <x:c r="A21" t="str">
        <x:v>Huanuco - Tingo Maria - Chanchamayo - Satipo</x:v>
      </x:c>
      <x:c r="B21" s="14" t="n">
        <x:v>735</x:v>
      </x:c>
      <x:c r="C21" s="14" t="n">
        <x:v>2</x:v>
      </x:c>
      <x:c r="D21" s="14" t="n">
        <x:v>1.15</x:v>
      </x:c>
      <x:c r="E21" s="14" t="n">
        <x:v>1690.4999999999998</x:v>
      </x:c>
      <x:c r="F21" t="str">
        <x:v>Fallback: km anterior × 1.15</x:v>
      </x:c>
      <x:c r="G21" t="str">
        <x:v>Ruta completa no disponible en un mismo recorrido del archivo</x:v>
      </x:c>
    </x:row>
    <x:row r="22">
      <x:c r="A22" t="str">
        <x:v>Huanuco - Tingo Maria - Pucallpa</x:v>
      </x:c>
      <x:c r="B22" s="14" t="n">
        <x:v>825</x:v>
      </x:c>
      <x:c r="C22" s="14" t="n">
        <x:v>2</x:v>
      </x:c>
      <x:c r="D22" s="14" t="n">
        <x:v>1.15</x:v>
      </x:c>
      <x:c r="E22" s="14" t="n">
        <x:v>1897.4999999999998</x:v>
      </x:c>
      <x:c r="F22" t="str">
        <x:v>Nuevo archivo</x:v>
      </x:c>
      <x:c r="G22" t="str">
        <x:v>Hub Lurin → Huanuco (410 km) | Huanuco → Tingo Maria (125 km) | Tingo Maria → Pucallpa (290 km)</x:v>
      </x:c>
    </x:row>
    <x:row r="23">
      <x:c r="A23" t="str">
        <x:v>Jaen</x:v>
      </x:c>
      <x:c r="B23" s="14" t="n">
        <x:v>1080</x:v>
      </x:c>
      <x:c r="C23" s="14" t="n">
        <x:v>2</x:v>
      </x:c>
      <x:c r="D23" s="14" t="n">
        <x:v>1.15</x:v>
      </x:c>
      <x:c r="E23" s="14" t="n">
        <x:v>2484</x:v>
      </x:c>
      <x:c r="F23" t="str">
        <x:v>Fallback: km anterior × 1.15</x:v>
      </x:c>
      <x:c r="G23" t="str">
        <x:v>Ruta completa no disponible en un mismo recorrido del archivo</x:v>
      </x:c>
    </x:row>
    <x:row r="24">
      <x:c r="A24" t="str">
        <x:v>Mazuko</x:v>
      </x:c>
      <x:c r="B24" s="14" t="n">
        <x:v>1550</x:v>
      </x:c>
      <x:c r="C24" s="14" t="n">
        <x:v>2</x:v>
      </x:c>
      <x:c r="D24" s="14" t="n">
        <x:v>1.15</x:v>
      </x:c>
      <x:c r="E24" s="14" t="n">
        <x:v>3564.9999999999995</x:v>
      </x:c>
      <x:c r="F24" t="str">
        <x:v>Nuevo archivo</x:v>
      </x:c>
      <x:c r="G24" t="str">
        <x:v>Hub Lurin → Mazuco (1550 km)</x:v>
      </x:c>
    </x:row>
    <x:row r="25">
      <x:c r="A25" t="str">
        <x:v>Motupe</x:v>
      </x:c>
      <x:c r="B25" s="14" t="n">
        <x:v>855</x:v>
      </x:c>
      <x:c r="C25" s="14" t="n">
        <x:v>2</x:v>
      </x:c>
      <x:c r="D25" s="14" t="n">
        <x:v>1.15</x:v>
      </x:c>
      <x:c r="E25" s="14" t="n">
        <x:v>1966.4999999999998</x:v>
      </x:c>
      <x:c r="F25" t="str">
        <x:v>Nuevo archivo</x:v>
      </x:c>
      <x:c r="G25" t="str">
        <x:v>Hub Lurin → Chiclayo (775 km) | Chiclayo → Motupe (80 km)</x:v>
      </x:c>
    </x:row>
    <x:row r="26">
      <x:c r="A26" t="str">
        <x:v>Piura</x:v>
      </x:c>
      <x:c r="B26" s="14" t="n">
        <x:v>970</x:v>
      </x:c>
      <x:c r="C26" s="14" t="n">
        <x:v>2</x:v>
      </x:c>
      <x:c r="D26" s="14" t="n">
        <x:v>1.15</x:v>
      </x:c>
      <x:c r="E26" s="14" t="n">
        <x:v>2231</x:v>
      </x:c>
      <x:c r="F26" t="str">
        <x:v>Nuevo archivo</x:v>
      </x:c>
      <x:c r="G26" t="str">
        <x:v>Hub Lurin → Trujillo (560 km) | Trujillo → Piura (410 km)</x:v>
      </x:c>
    </x:row>
    <x:row r="27">
      <x:c r="A27" t="str">
        <x:v>Pucallpa</x:v>
      </x:c>
      <x:c r="B27" s="14" t="n">
        <x:v>760</x:v>
      </x:c>
      <x:c r="C27" s="14" t="n">
        <x:v>2</x:v>
      </x:c>
      <x:c r="D27" s="14" t="n">
        <x:v>1.15</x:v>
      </x:c>
      <x:c r="E27" s="14" t="n">
        <x:v>1747.9999999999998</x:v>
      </x:c>
      <x:c r="F27" t="str">
        <x:v>Nuevo archivo</x:v>
      </x:c>
      <x:c r="G27" t="str">
        <x:v>Hub Lurin → Pucallpa (760 km)</x:v>
      </x:c>
    </x:row>
    <x:row r="28">
      <x:c r="A28" t="str">
        <x:v>Trujillo</x:v>
      </x:c>
      <x:c r="B28" s="14" t="n">
        <x:v>560</x:v>
      </x:c>
      <x:c r="C28" s="14" t="n">
        <x:v>2</x:v>
      </x:c>
      <x:c r="D28" s="14" t="n">
        <x:v>1.15</x:v>
      </x:c>
      <x:c r="E28" s="14" t="n">
        <x:v>1288</x:v>
      </x:c>
      <x:c r="F28" t="str">
        <x:v>Nuevo archivo</x:v>
      </x:c>
      <x:c r="G28" t="str">
        <x:v>Hub Lurin → Trujillo (560 km)</x:v>
      </x:c>
    </x:row>
    <x:row r="29">
      <x:c r="A29" t="str">
        <x:v>Trujillo - Cajamarca</x:v>
      </x:c>
      <x:c r="B29" s="14" t="n">
        <x:v>885</x:v>
      </x:c>
      <x:c r="C29" s="14" t="n">
        <x:v>2</x:v>
      </x:c>
      <x:c r="D29" s="14" t="n">
        <x:v>1.15</x:v>
      </x:c>
      <x:c r="E29" s="14" t="n">
        <x:v>2035.4999999999998</x:v>
      </x:c>
      <x:c r="F29" t="str">
        <x:v>Fallback: km anterior × 1.15</x:v>
      </x:c>
      <x:c r="G29" t="str">
        <x:v>Ruta completa no disponible en un mismo recorrido del archivo</x:v>
      </x:c>
    </x:row>
    <x:row r="30">
      <x:c r="A30" t="str">
        <x:v>Trujillo - Chiclayo</x:v>
      </x:c>
      <x:c r="B30" s="14" t="n">
        <x:v>800</x:v>
      </x:c>
      <x:c r="C30" s="14" t="n">
        <x:v>2</x:v>
      </x:c>
      <x:c r="D30" s="14" t="n">
        <x:v>1.15</x:v>
      </x:c>
      <x:c r="E30" s="14" t="n">
        <x:v>1839.9999999999998</x:v>
      </x:c>
      <x:c r="F30" t="str">
        <x:v>Fallback: km anterior × 1.15</x:v>
      </x:c>
      <x:c r="G30" t="str">
        <x:v>Ruta completa no disponible en un mismo recorrido del archivo</x:v>
      </x:c>
    </x:row>
    <x:row r="31">
      <x:c r="A31" t="str">
        <x:v>Trujillo - Piura</x:v>
      </x:c>
      <x:c r="B31" s="14" t="n">
        <x:v>970</x:v>
      </x:c>
      <x:c r="C31" s="14" t="n">
        <x:v>2</x:v>
      </x:c>
      <x:c r="D31" s="14" t="n">
        <x:v>1.15</x:v>
      </x:c>
      <x:c r="E31" s="14" t="n">
        <x:v>2231</x:v>
      </x:c>
      <x:c r="F31" t="str">
        <x:v>Nuevo archivo</x:v>
      </x:c>
      <x:c r="G31" t="str">
        <x:v>Hub Lurin → Trujillo (560 km) | Trujillo → Piura (410 km)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10" t="str">
        <x:v>Cálculo S/gal con kilometraje actualizado — Ene-Mar 2026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</x:row>
    <x:row r="3">
      <x:c r="A3" s="4" t="str">
        <x:v>Ruta</x:v>
      </x:c>
      <x:c r="B3" s="4" t="str">
        <x:v>Km final</x:v>
      </x:c>
      <x:c r="C3" s="4" t="str">
        <x:v>Eficiencia km/gal</x:v>
      </x:c>
      <x:c r="D3" s="4" t="str">
        <x:v>Galones</x:v>
      </x:c>
      <x:c r="E3" s="4" t="str">
        <x:v>Tarifa HECARO</x:v>
      </x:c>
      <x:c r="F3" s="4" t="str">
        <x:v>% Comb HECARO</x:v>
      </x:c>
      <x:c r="G3" s="4" t="str">
        <x:v>S/ Comb HECARO</x:v>
      </x:c>
      <x:c r="H3" s="4" t="str">
        <x:v>S/gal HECARO</x:v>
      </x:c>
      <x:c r="I3" s="4" t="str">
        <x:v>Tarifa LMG</x:v>
      </x:c>
      <x:c r="J3" s="4" t="str">
        <x:v>% Comb LMG</x:v>
      </x:c>
      <x:c r="K3" s="4" t="str">
        <x:v>S/ Comb LMG</x:v>
      </x:c>
      <x:c r="L3" s="4" t="str">
        <x:v>S/gal LMG</x:v>
      </x:c>
      <x:c r="M3" s="4" t="str">
        <x:v>Tarifa QOLPARO</x:v>
      </x:c>
      <x:c r="N3" s="4" t="str">
        <x:v>% Comb QOLPARO</x:v>
      </x:c>
      <x:c r="O3" s="4" t="str">
        <x:v>S/ Comb QOLPARO</x:v>
      </x:c>
      <x:c r="P3" s="4" t="str">
        <x:v>S/gal QOLPARO</x:v>
      </x:c>
    </x:row>
    <x:row r="4">
      <x:c r="A4" t="str">
        <x:v>Ancash - Chimbote</x:v>
      </x:c>
      <x:c r="B4" s="14" t="n">
        <x:v>1460.5</x:v>
      </x:c>
      <x:c r="C4" s="14" t="n">
        <x:v>9.6</x:v>
      </x:c>
      <x:c r="D4" s="14" t="n">
        <x:f>B4/C4</x:f>
        <x:v>152.13541666666669</x:v>
      </x:c>
      <x:c r="E4" s="16" t="n">
        <x:v>4500</x:v>
      </x:c>
      <x:c r="F4" s="18" t="n">
        <x:v>0.6</x:v>
      </x:c>
      <x:c r="G4" s="16" t="n">
        <x:f>IF(E4="","",E4*F4)</x:f>
        <x:v>2700</x:v>
      </x:c>
      <x:c r="H4" s="16" t="n">
        <x:f>IF(G4="","",G4/D4)</x:f>
        <x:v>17.747346799041424</x:v>
      </x:c>
      <x:c r="I4" s="16" t="n">
        <x:v>4500</x:v>
      </x:c>
      <x:c r="J4" s="18" t="n">
        <x:v>0.52</x:v>
      </x:c>
      <x:c r="K4" s="16" t="n">
        <x:f>IF(I4="","",I4*J4)</x:f>
        <x:v>2340</x:v>
      </x:c>
      <x:c r="L4" s="16" t="n">
        <x:f>IF(K4="","",K4/D4)</x:f>
        <x:v>15.381033892502566</x:v>
      </x:c>
      <x:c r="M4" s="16" t="n">
        <x:v>4500</x:v>
      </x:c>
      <x:c r="N4" s="18" t="n">
        <x:v>0.5</x:v>
      </x:c>
      <x:c r="O4" s="16" t="n">
        <x:f>IF(M4="","",M4*N4)</x:f>
        <x:v>2250</x:v>
      </x:c>
      <x:c r="P4" s="16" t="n">
        <x:f>IF(O4="","",O4/D4)</x:f>
        <x:v>14.789455665867852</x:v>
      </x:c>
    </x:row>
    <x:row r="5">
      <x:c r="A5" t="str">
        <x:v>Arequipa</x:v>
      </x:c>
      <x:c r="B5" s="14" t="n">
        <x:v>2346</x:v>
      </x:c>
      <x:c r="C5" s="14" t="n">
        <x:v>9.6</x:v>
      </x:c>
      <x:c r="D5" s="14" t="n">
        <x:f>B5/C5</x:f>
        <x:v>244.375</x:v>
      </x:c>
      <x:c r="E5" s="16" t="n">
        <x:v>8756</x:v>
      </x:c>
      <x:c r="F5" s="18" t="n">
        <x:v>0.65</x:v>
      </x:c>
      <x:c r="G5" s="16" t="n">
        <x:f>IF(E5="","",E5*F5)</x:f>
        <x:v>5691.400000000001</x:v>
      </x:c>
      <x:c r="H5" s="16" t="n">
        <x:f>IF(G5="","",G5/D5)</x:f>
        <x:v>23.28961636828645</x:v>
      </x:c>
      <x:c r="I5" s="16" t="n">
        <x:v>8756</x:v>
      </x:c>
      <x:c r="J5" s="18" t="n">
        <x:v>0.52</x:v>
      </x:c>
      <x:c r="K5" s="16" t="n">
        <x:f>IF(I5="","",I5*J5)</x:f>
        <x:v>4553.12</x:v>
      </x:c>
      <x:c r="L5" s="16" t="n">
        <x:f>IF(K5="","",K5/D5)</x:f>
        <x:v>18.631693094629156</x:v>
      </x:c>
      <x:c r="M5" s="16" t="n">
        <x:v>8756</x:v>
      </x:c>
      <x:c r="N5" s="18" t="n">
        <x:v>0.5</x:v>
      </x:c>
      <x:c r="O5" s="16" t="n">
        <x:f>IF(M5="","",M5*N5)</x:f>
        <x:v>4378</x:v>
      </x:c>
      <x:c r="P5" s="16" t="n">
        <x:f>IF(O5="","",O5/D5)</x:f>
        <x:v>17.915089514066498</x:v>
      </x:c>
    </x:row>
    <x:row r="6">
      <x:c r="A6" t="str">
        <x:v>Arequipa - Cusco</x:v>
      </x:c>
      <x:c r="B6" s="14" t="n">
        <x:v>3518.9999999999995</x:v>
      </x:c>
      <x:c r="C6" s="14" t="n">
        <x:v>9.6</x:v>
      </x:c>
      <x:c r="D6" s="14" t="n">
        <x:f>B6/C6</x:f>
        <x:v>366.56249999999994</x:v>
      </x:c>
      <x:c r="E6" s="16" t="n">
        <x:v>11500</x:v>
      </x:c>
      <x:c r="F6" s="18" t="n">
        <x:v>0.7</x:v>
      </x:c>
      <x:c r="G6" s="16" t="n">
        <x:f>IF(E6="","",E6*F6)</x:f>
        <x:v>8049.999999999999</x:v>
      </x:c>
      <x:c r="H6" s="16" t="n">
        <x:f>IF(G6="","",G6/D6)</x:f>
        <x:v>21.96078431372549</x:v>
      </x:c>
      <x:c r="I6" s="16" t="n">
        <x:v>11500</x:v>
      </x:c>
      <x:c r="J6" s="18" t="n">
        <x:v>0.52</x:v>
      </x:c>
      <x:c r="K6" s="16" t="n">
        <x:f>IF(I6="","",I6*J6)</x:f>
        <x:v>5980</x:v>
      </x:c>
      <x:c r="L6" s="16" t="n">
        <x:f>IF(K6="","",K6/D6)</x:f>
        <x:v>16.31372549019608</x:v>
      </x:c>
      <x:c r="M6" s="16" t="n">
        <x:v>11500</x:v>
      </x:c>
      <x:c r="N6" s="18" t="n">
        <x:v>0.5</x:v>
      </x:c>
      <x:c r="O6" s="16" t="n">
        <x:f>IF(M6="","",M6*N6)</x:f>
        <x:v>5750</x:v>
      </x:c>
      <x:c r="P6" s="16" t="n">
        <x:f>IF(O6="","",O6/D6)</x:f>
        <x:v>15.686274509803924</x:v>
      </x:c>
    </x:row>
    <x:row r="7">
      <x:c r="A7" t="str">
        <x:v>Arequipa - Juliaca</x:v>
      </x:c>
      <x:c r="B7" s="14" t="n">
        <x:v>4738</x:v>
      </x:c>
      <x:c r="C7" s="14" t="n">
        <x:v>9.6</x:v>
      </x:c>
      <x:c r="D7" s="14" t="n">
        <x:f>B7/C7</x:f>
        <x:v>493.5416666666667</x:v>
      </x:c>
      <x:c r="E7" s="16" t="n">
        <x:v>11500</x:v>
      </x:c>
      <x:c r="F7" s="18" t="n">
        <x:v>0.7</x:v>
      </x:c>
      <x:c r="G7" s="16" t="n">
        <x:f>IF(E7="","",E7*F7)</x:f>
        <x:v>8049.999999999999</x:v>
      </x:c>
      <x:c r="H7" s="16" t="n">
        <x:f>IF(G7="","",G7/D7)</x:f>
        <x:v>16.31067961165048</x:v>
      </x:c>
      <x:c r="I7" s="16" t="n">
        <x:v>11500</x:v>
      </x:c>
      <x:c r="J7" s="18" t="n">
        <x:v>0.52</x:v>
      </x:c>
      <x:c r="K7" s="16" t="n">
        <x:f>IF(I7="","",I7*J7)</x:f>
        <x:v>5980</x:v>
      </x:c>
      <x:c r="L7" s="16" t="n">
        <x:f>IF(K7="","",K7/D7)</x:f>
        <x:v>12.116504854368932</x:v>
      </x:c>
      <x:c r="M7" s="16" t="n">
        <x:v>11500</x:v>
      </x:c>
      <x:c r="N7" s="18" t="n">
        <x:v>0.5</x:v>
      </x:c>
      <x:c r="O7" s="16" t="n">
        <x:f>IF(M7="","",M7*N7)</x:f>
        <x:v>5750</x:v>
      </x:c>
      <x:c r="P7" s="16" t="n">
        <x:f>IF(O7="","",O7/D7)</x:f>
        <x:v>11.650485436893204</x:v>
      </x:c>
    </x:row>
    <x:row r="8">
      <x:c r="A8" t="str">
        <x:v>Arequipa - Juliaca - Cusco</x:v>
      </x:c>
      <x:c r="B8" s="14" t="n">
        <x:v>3122.2499999999995</x:v>
      </x:c>
      <x:c r="C8" s="14" t="n">
        <x:v>9.6</x:v>
      </x:c>
      <x:c r="D8" s="14" t="n">
        <x:f>B8/C8</x:f>
        <x:v>325.23437499999994</x:v>
      </x:c>
      <x:c r="E8" s="16" t="n">
        <x:v>11500</x:v>
      </x:c>
      <x:c r="F8" s="18" t="n">
        <x:v>0.7</x:v>
      </x:c>
      <x:c r="G8" s="16" t="n">
        <x:f>IF(E8="","",E8*F8)</x:f>
        <x:v>8049.999999999999</x:v>
      </x:c>
      <x:c r="H8" s="16" t="n">
        <x:f>IF(G8="","",G8/D8)</x:f>
        <x:v>24.751381215469614</x:v>
      </x:c>
      <x:c r="I8" s="16" t="n">
        <x:v>11500</x:v>
      </x:c>
      <x:c r="J8" s="18" t="n">
        <x:v>0.52</x:v>
      </x:c>
      <x:c r="K8" s="16" t="n">
        <x:f>IF(I8="","",I8*J8)</x:f>
        <x:v>5980</x:v>
      </x:c>
      <x:c r="L8" s="16" t="n">
        <x:f>IF(K8="","",K8/D8)</x:f>
        <x:v>18.386740331491715</x:v>
      </x:c>
      <x:c r="M8" s="16" t="n">
        <x:v>11500</x:v>
      </x:c>
      <x:c r="N8" s="18" t="n">
        <x:v>0.5</x:v>
      </x:c>
      <x:c r="O8" s="16" t="n">
        <x:f>IF(M8="","",M8*N8)</x:f>
        <x:v>5750</x:v>
      </x:c>
      <x:c r="P8" s="16" t="n">
        <x:f>IF(O8="","",O8/D8)</x:f>
        <x:v>17.67955801104973</x:v>
      </x:c>
    </x:row>
    <x:row r="9">
      <x:c r="A9" t="str">
        <x:v>Ayacucho</x:v>
      </x:c>
      <x:c r="B9" s="14" t="n">
        <x:v>1380</x:v>
      </x:c>
      <x:c r="C9" s="14" t="n">
        <x:v>9.6</x:v>
      </x:c>
      <x:c r="D9" s="14" t="n">
        <x:f>B9/C9</x:f>
        <x:v>143.75</x:v>
      </x:c>
      <x:c r="E9" s="16" t="n">
        <x:v>4725</x:v>
      </x:c>
      <x:c r="F9" s="18" t="n">
        <x:v>0.55</x:v>
      </x:c>
      <x:c r="G9" s="16" t="n">
        <x:f>IF(E9="","",E9*F9)</x:f>
        <x:v>2598.75</x:v>
      </x:c>
      <x:c r="H9" s="16" t="n">
        <x:f>IF(G9="","",G9/D9)</x:f>
        <x:v>18.078260869565216</x:v>
      </x:c>
      <x:c r="I9" s="16" t="n">
        <x:v>4725</x:v>
      </x:c>
      <x:c r="J9" s="18" t="n">
        <x:v>0.52</x:v>
      </x:c>
      <x:c r="K9" s="16" t="n">
        <x:f>IF(I9="","",I9*J9)</x:f>
        <x:v>2457</x:v>
      </x:c>
      <x:c r="L9" s="16" t="n">
        <x:f>IF(K9="","",K9/D9)</x:f>
        <x:v>17.092173913043478</x:v>
      </x:c>
      <x:c r="M9" s="16" t="n">
        <x:v>4725</x:v>
      </x:c>
      <x:c r="N9" s="18" t="n">
        <x:v>0.5</x:v>
      </x:c>
      <x:c r="O9" s="16" t="n">
        <x:f>IF(M9="","",M9*N9)</x:f>
        <x:v>2362.5</x:v>
      </x:c>
      <x:c r="P9" s="16" t="n">
        <x:f>IF(O9="","",O9/D9)</x:f>
        <x:v>16.434782608695652</x:v>
      </x:c>
    </x:row>
    <x:row r="10">
      <x:c r="A10" t="str">
        <x:v>Ayacucho - Huancavelica - Huanuco</x:v>
      </x:c>
      <x:c r="B10" s="14" t="n">
        <x:v>1954.9999999999998</x:v>
      </x:c>
      <x:c r="C10" s="14" t="n">
        <x:v>9.6</x:v>
      </x:c>
      <x:c r="D10" s="14" t="n">
        <x:f>B10/C10</x:f>
        <x:v>203.64583333333331</x:v>
      </x:c>
      <x:c r="E10" s="16" t="n">
        <x:v>6924</x:v>
      </x:c>
      <x:c r="F10" s="18" t="n">
        <x:v>0.55</x:v>
      </x:c>
      <x:c r="G10" s="16" t="n">
        <x:f>IF(E10="","",E10*F10)</x:f>
        <x:v>3808.2000000000003</x:v>
      </x:c>
      <x:c r="H10" s="16" t="n">
        <x:f>IF(G10="","",G10/D10)</x:f>
        <x:v>18.700112531969314</x:v>
      </x:c>
      <x:c r="I10" s="16" t="n">
        <x:v>6924</x:v>
      </x:c>
      <x:c r="J10" s="18" t="n">
        <x:v>0.52</x:v>
      </x:c>
      <x:c r="K10" s="16" t="n">
        <x:f>IF(I10="","",I10*J10)</x:f>
        <x:v>3600.48</x:v>
      </x:c>
      <x:c r="L10" s="16" t="n">
        <x:f>IF(K10="","",K10/D10)</x:f>
        <x:v>17.680106393861895</x:v>
      </x:c>
      <x:c r="M10" s="16" t="n">
        <x:v>6924</x:v>
      </x:c>
      <x:c r="N10" s="18" t="n">
        <x:v>0.5</x:v>
      </x:c>
      <x:c r="O10" s="16" t="n">
        <x:f>IF(M10="","",M10*N10)</x:f>
        <x:v>3462</x:v>
      </x:c>
      <x:c r="P10" s="16" t="n">
        <x:f>IF(O10="","",O10/D10)</x:f>
        <x:v>17.00010230179028</x:v>
      </x:c>
    </x:row>
    <x:row r="11">
      <x:c r="A11" t="str">
        <x:v>Cañete - Ica - Nazca</x:v>
      </x:c>
      <x:c r="B11" s="14" t="n">
        <x:v>963.6999999999999</x:v>
      </x:c>
      <x:c r="C11" s="14" t="n">
        <x:v>9.6</x:v>
      </x:c>
      <x:c r="D11" s="14" t="n">
        <x:f>B11/C11</x:f>
        <x:v>100.38541666666666</x:v>
      </x:c>
      <x:c r="E11" s="16" t="n">
        <x:v>3050</x:v>
      </x:c>
      <x:c r="F11" s="18" t="n">
        <x:v>0.5</x:v>
      </x:c>
      <x:c r="G11" s="16" t="n">
        <x:f>IF(E11="","",E11*F11)</x:f>
        <x:v>1525</x:v>
      </x:c>
      <x:c r="H11" s="16" t="n">
        <x:f>IF(G11="","",G11/D11)</x:f>
        <x:v>15.191449621251428</x:v>
      </x:c>
      <x:c r="I11" s="16" t="n">
        <x:v>3050</x:v>
      </x:c>
      <x:c r="J11" s="18" t="n">
        <x:v>0.52</x:v>
      </x:c>
      <x:c r="K11" s="16" t="n">
        <x:f>IF(I11="","",I11*J11)</x:f>
        <x:v>1586</x:v>
      </x:c>
      <x:c r="L11" s="16" t="n">
        <x:f>IF(K11="","",K11/D11)</x:f>
        <x:v>15.799107606101485</x:v>
      </x:c>
      <x:c r="M11" s="16" t="n">
        <x:v>2900</x:v>
      </x:c>
      <x:c r="N11" s="18" t="n">
        <x:v>0.5</x:v>
      </x:c>
      <x:c r="O11" s="16" t="n">
        <x:f>IF(M11="","",M11*N11)</x:f>
        <x:v>1450</x:v>
      </x:c>
      <x:c r="P11" s="16" t="n">
        <x:f>IF(O11="","",O11/D11)</x:f>
        <x:v>14.444329148075129</x:v>
      </x:c>
    </x:row>
    <x:row r="12">
      <x:c r="A12" t="str">
        <x:v>Chiclayo</x:v>
      </x:c>
      <x:c r="B12" s="14" t="n">
        <x:v>1782.4999999999998</x:v>
      </x:c>
      <x:c r="C12" s="14" t="n">
        <x:v>9.6</x:v>
      </x:c>
      <x:c r="D12" s="14" t="n">
        <x:f>B12/C12</x:f>
        <x:v>185.67708333333331</x:v>
      </x:c>
      <x:c r="E12" s="16" t="n">
        <x:v>8046</x:v>
      </x:c>
      <x:c r="F12" s="18" t="n">
        <x:v>0.6</x:v>
      </x:c>
      <x:c r="G12" s="16" t="n">
        <x:f>IF(E12="","",E12*F12)</x:f>
        <x:v>4827.599999999999</x:v>
      </x:c>
      <x:c r="H12" s="16" t="n">
        <x:f>IF(G12="","",G12/D12)</x:f>
        <x:v>25.99997755960729</x:v>
      </x:c>
      <x:c r="I12" s="16" t="n">
        <x:v>8046</x:v>
      </x:c>
      <x:c r="J12" s="18" t="n">
        <x:v>0.52</x:v>
      </x:c>
      <x:c r="K12" s="16" t="n">
        <x:f>IF(I12="","",I12*J12)</x:f>
        <x:v>4183.92</x:v>
      </x:c>
      <x:c r="L12" s="16" t="n">
        <x:f>IF(K12="","",K12/D12)</x:f>
        <x:v>22.53331388499299</x:v>
      </x:c>
      <x:c r="M12" s="16" t="n">
        <x:v>7800</x:v>
      </x:c>
      <x:c r="N12" s="18" t="n">
        <x:v>0.5</x:v>
      </x:c>
      <x:c r="O12" s="16" t="n">
        <x:f>IF(M12="","",M12*N12)</x:f>
        <x:v>3900</x:v>
      </x:c>
      <x:c r="P12" s="16" t="n">
        <x:f>IF(O12="","",O12/D12)</x:f>
        <x:v>21.00420757363254</x:v>
      </x:c>
    </x:row>
    <x:row r="13">
      <x:c r="A13" t="str">
        <x:v>Chiclayo - Motupe - Cajamarca</x:v>
      </x:c>
      <x:c r="B13" s="14" t="n">
        <x:v>2254</x:v>
      </x:c>
      <x:c r="C13" s="14" t="n">
        <x:v>9.6</x:v>
      </x:c>
      <x:c r="D13" s="14" t="n">
        <x:f>B13/C13</x:f>
        <x:v>234.79166666666669</x:v>
      </x:c>
      <x:c r="E13" s="16" t="n">
        <x:v>11000</x:v>
      </x:c>
      <x:c r="F13" s="18" t="n">
        <x:v>0.6</x:v>
      </x:c>
      <x:c r="G13" s="16" t="n">
        <x:f>IF(E13="","",E13*F13)</x:f>
        <x:v>6600</x:v>
      </x:c>
      <x:c r="H13" s="16" t="n">
        <x:f>IF(G13="","",G13/D13)</x:f>
        <x:v>28.110026619343387</x:v>
      </x:c>
      <x:c r="I13" s="16" t="n">
        <x:v>11000</x:v>
      </x:c>
      <x:c r="J13" s="18" t="n">
        <x:v>0.52</x:v>
      </x:c>
      <x:c r="K13" s="16" t="n">
        <x:f>IF(I13="","",I13*J13)</x:f>
        <x:v>5720</x:v>
      </x:c>
      <x:c r="L13" s="16" t="n">
        <x:f>IF(K13="","",K13/D13)</x:f>
        <x:v>24.362023070097603</x:v>
      </x:c>
      <x:c r="M13" s="16" t="n">
        <x:v>11000</x:v>
      </x:c>
      <x:c r="N13" s="18" t="n">
        <x:v>0.5</x:v>
      </x:c>
      <x:c r="O13" s="16" t="n">
        <x:f>IF(M13="","",M13*N13)</x:f>
        <x:v>5500</x:v>
      </x:c>
      <x:c r="P13" s="16" t="n">
        <x:f>IF(O13="","",O13/D13)</x:f>
        <x:v>23.425022182786154</x:v>
      </x:c>
    </x:row>
    <x:row r="14">
      <x:c r="A14" t="str">
        <x:v>Chiclayo - Piura</x:v>
      </x:c>
      <x:c r="B14" s="14" t="n">
        <x:v>2317.25</x:v>
      </x:c>
      <x:c r="C14" s="14" t="n">
        <x:v>9.6</x:v>
      </x:c>
      <x:c r="D14" s="14" t="n">
        <x:f>B14/C14</x:f>
        <x:v>241.38020833333334</x:v>
      </x:c>
      <x:c r="E14" s="16" t="n">
        <x:v>8110</x:v>
      </x:c>
      <x:c r="F14" s="18" t="n">
        <x:v>0.6</x:v>
      </x:c>
      <x:c r="G14" s="16" t="n">
        <x:f>IF(E14="","",E14*F14)</x:f>
        <x:v>4866</x:v>
      </x:c>
      <x:c r="H14" s="16" t="n">
        <x:f>IF(G14="","",G14/D14)</x:f>
        <x:v>20.159067860610637</x:v>
      </x:c>
      <x:c r="I14" s="16" t="n">
        <x:v>8110</x:v>
      </x:c>
      <x:c r="J14" s="18" t="n">
        <x:v>0.52</x:v>
      </x:c>
      <x:c r="K14" s="16" t="n">
        <x:f>IF(I14="","",I14*J14)</x:f>
        <x:v>4217.2</x:v>
      </x:c>
      <x:c r="L14" s="16" t="n">
        <x:f>IF(K14="","",K14/D14)</x:f>
        <x:v>17.471192145862553</x:v>
      </x:c>
      <x:c r="M14" s="16" t="n">
        <x:v>8110</x:v>
      </x:c>
      <x:c r="N14" s="18" t="n">
        <x:v>0.5</x:v>
      </x:c>
      <x:c r="O14" s="16" t="n">
        <x:f>IF(M14="","",M14*N14)</x:f>
        <x:v>4055</x:v>
      </x:c>
      <x:c r="P14" s="16" t="n">
        <x:f>IF(O14="","",O14/D14)</x:f>
        <x:v>16.79922321717553</x:v>
      </x:c>
    </x:row>
    <x:row r="15">
      <x:c r="A15" t="str">
        <x:v>Chiclayo - Trujillo</x:v>
      </x:c>
      <x:c r="B15" s="14" t="n">
        <x:v>1839.9999999999998</x:v>
      </x:c>
      <x:c r="C15" s="14" t="n">
        <x:v>9.6</x:v>
      </x:c>
      <x:c r="D15" s="14" t="n">
        <x:f>B15/C15</x:f>
        <x:v>191.66666666666666</x:v>
      </x:c>
      <x:c r="E15" s="16" t="n">
        <x:v>3500</x:v>
      </x:c>
      <x:c r="F15" s="18" t="n">
        <x:v>0.7</x:v>
      </x:c>
      <x:c r="G15" s="16" t="n">
        <x:f>IF(E15="","",E15*F15)</x:f>
        <x:v>2450</x:v>
      </x:c>
      <x:c r="H15" s="16" t="n">
        <x:f>IF(G15="","",G15/D15)</x:f>
        <x:v>12.782608695652174</x:v>
      </x:c>
      <x:c r="I15" s="16" t="n">
        <x:v>3500</x:v>
      </x:c>
      <x:c r="J15" s="18" t="n">
        <x:v>0.52</x:v>
      </x:c>
      <x:c r="K15" s="16" t="n">
        <x:f>IF(I15="","",I15*J15)</x:f>
        <x:v>1820</x:v>
      </x:c>
      <x:c r="L15" s="16" t="n">
        <x:f>IF(K15="","",K15/D15)</x:f>
        <x:v>9.495652173913044</x:v>
      </x:c>
      <x:c r="M15" s="16" t="n">
        <x:v>3500</x:v>
      </x:c>
      <x:c r="N15" s="18" t="n">
        <x:v>0.5</x:v>
      </x:c>
      <x:c r="O15" s="16" t="n">
        <x:f>IF(M15="","",M15*N15)</x:f>
        <x:v>1750</x:v>
      </x:c>
      <x:c r="P15" s="16" t="n">
        <x:f>IF(O15="","",O15/D15)</x:f>
        <x:v>9.130434782608695</x:v>
      </x:c>
    </x:row>
    <x:row r="16">
      <x:c r="A16" t="str">
        <x:v>Chiclayo - Motupe</x:v>
      </x:c>
      <x:c r="B16" s="14" t="n">
        <x:v>1966.4999999999998</x:v>
      </x:c>
      <x:c r="C16" s="14" t="n">
        <x:v>9.6</x:v>
      </x:c>
      <x:c r="D16" s="14" t="n">
        <x:f>B16/C16</x:f>
        <x:v>204.84374999999997</x:v>
      </x:c>
      <x:c r="E16" s="16" t="n">
        <x:v>8450</x:v>
      </x:c>
      <x:c r="F16" s="18" t="n">
        <x:v>0.6</x:v>
      </x:c>
      <x:c r="G16" s="16" t="n">
        <x:f>IF(E16="","",E16*F16)</x:f>
        <x:v>5070</x:v>
      </x:c>
      <x:c r="H16" s="16" t="n">
        <x:f>IF(G16="","",G16/D16)</x:f>
        <x:v>24.750572082379865</x:v>
      </x:c>
      <x:c r="I16" s="16" t="n">
        <x:v>8450</x:v>
      </x:c>
      <x:c r="J16" s="18" t="n">
        <x:v>0.52</x:v>
      </x:c>
      <x:c r="K16" s="16" t="n">
        <x:f>IF(I16="","",I16*J16)</x:f>
        <x:v>4394</x:v>
      </x:c>
      <x:c r="L16" s="16" t="n">
        <x:f>IF(K16="","",K16/D16)</x:f>
        <x:v>21.45049580472922</x:v>
      </x:c>
      <x:c r="M16" s="16" t="n">
        <x:v>8450</x:v>
      </x:c>
      <x:c r="N16" s="18" t="n">
        <x:v>0.5</x:v>
      </x:c>
      <x:c r="O16" s="16" t="n">
        <x:f>IF(M16="","",M16*N16)</x:f>
        <x:v>4225</x:v>
      </x:c>
      <x:c r="P16" s="16" t="n">
        <x:f>IF(O16="","",O16/D16)</x:f>
        <x:v>20.625476735316553</x:v>
      </x:c>
    </x:row>
    <x:row r="17">
      <x:c r="A17" t="str">
        <x:v>Cusco</x:v>
      </x:c>
      <x:c r="B17" s="14" t="n">
        <x:v>3334.9999999999995</x:v>
      </x:c>
      <x:c r="C17" s="14" t="n">
        <x:v>9.6</x:v>
      </x:c>
      <x:c r="D17" s="14" t="n">
        <x:f>B17/C17</x:f>
        <x:v>347.3958333333333</x:v>
      </x:c>
      <x:c r="E17" s="16" t="n">
        <x:v>10460</x:v>
      </x:c>
      <x:c r="F17" s="18" t="n">
        <x:v>0.7</x:v>
      </x:c>
      <x:c r="G17" s="16" t="n">
        <x:f>IF(E17="","",E17*F17)</x:f>
        <x:v>7321.999999999999</x:v>
      </x:c>
      <x:c r="H17" s="16" t="n">
        <x:f>IF(G17="","",G17/D17)</x:f>
        <x:v>21.076821589205395</x:v>
      </x:c>
      <x:c r="I17" s="16" t="n">
        <x:v>10460</x:v>
      </x:c>
      <x:c r="J17" s="18" t="n">
        <x:v>0.52</x:v>
      </x:c>
      <x:c r="K17" s="16" t="n">
        <x:f>IF(I17="","",I17*J17)</x:f>
        <x:v>5439.2</x:v>
      </x:c>
      <x:c r="L17" s="16" t="n">
        <x:f>IF(K17="","",K17/D17)</x:f>
        <x:v>15.657067466266867</x:v>
      </x:c>
      <x:c r="M17" s="16" t="n">
        <x:v>10460</x:v>
      </x:c>
      <x:c r="N17" s="18" t="n">
        <x:v>0.5</x:v>
      </x:c>
      <x:c r="O17" s="16" t="n">
        <x:f>IF(M17="","",M17*N17)</x:f>
        <x:v>5230</x:v>
      </x:c>
      <x:c r="P17" s="16" t="n">
        <x:f>IF(O17="","",O17/D17)</x:f>
        <x:v>15.054872563718142</x:v>
      </x:c>
    </x:row>
    <x:row r="18">
      <x:c r="A18" t="str">
        <x:v>Cusco - Juliaca</x:v>
      </x:c>
      <x:c r="B18" s="14" t="n">
        <x:v>3145.2499999999995</x:v>
      </x:c>
      <x:c r="C18" s="14" t="n">
        <x:v>9.6</x:v>
      </x:c>
      <x:c r="D18" s="14" t="n">
        <x:f>B18/C18</x:f>
        <x:v>327.6302083333333</x:v>
      </x:c>
      <x:c r="E18" s="16" t="n">
        <x:v>11500</x:v>
      </x:c>
      <x:c r="F18" s="18" t="n">
        <x:v>0.7</x:v>
      </x:c>
      <x:c r="G18" s="16" t="n">
        <x:f>IF(E18="","",E18*F18)</x:f>
        <x:v>8049.999999999999</x:v>
      </x:c>
      <x:c r="H18" s="16" t="n">
        <x:f>IF(G18="","",G18/D18)</x:f>
        <x:v>24.570383912248627</x:v>
      </x:c>
      <x:c r="I18" s="16" t="n">
        <x:v>11500</x:v>
      </x:c>
      <x:c r="J18" s="18" t="n">
        <x:v>0.52</x:v>
      </x:c>
      <x:c r="K18" s="16" t="n">
        <x:f>IF(I18="","",I18*J18)</x:f>
        <x:v>5980</x:v>
      </x:c>
      <x:c r="L18" s="16" t="n">
        <x:f>IF(K18="","",K18/D18)</x:f>
        <x:v>18.252285191956126</x:v>
      </x:c>
      <x:c r="M18" s="16" t="n">
        <x:v>11500</x:v>
      </x:c>
      <x:c r="N18" s="18" t="n">
        <x:v>0.5</x:v>
      </x:c>
      <x:c r="O18" s="16" t="n">
        <x:f>IF(M18="","",M18*N18)</x:f>
        <x:v>5750</x:v>
      </x:c>
      <x:c r="P18" s="16" t="n">
        <x:f>IF(O18="","",O18/D18)</x:f>
        <x:v>17.550274223034737</x:v>
      </x:c>
    </x:row>
    <x:row r="19">
      <x:c r="A19" t="str">
        <x:v>Huancayo</x:v>
      </x:c>
      <x:c r="B19" s="14" t="n">
        <x:v>2070</x:v>
      </x:c>
      <x:c r="C19" s="14" t="n">
        <x:v>9.6</x:v>
      </x:c>
      <x:c r="D19" s="14" t="n">
        <x:f>B19/C19</x:f>
        <x:v>215.625</x:v>
      </x:c>
      <x:c r="E19" s="16" t="n">
        <x:v>2900</x:v>
      </x:c>
      <x:c r="F19" s="18" t="n">
        <x:v>0.55</x:v>
      </x:c>
      <x:c r="G19" s="16" t="n">
        <x:f>IF(E19="","",E19*F19)</x:f>
        <x:v>1595.0000000000002</x:v>
      </x:c>
      <x:c r="H19" s="16" t="n">
        <x:f>IF(G19="","",G19/D19)</x:f>
        <x:v>7.397101449275364</x:v>
      </x:c>
      <x:c r="I19" s="16" t="n">
        <x:v>2900</x:v>
      </x:c>
      <x:c r="J19" s="18" t="n">
        <x:v>0.52</x:v>
      </x:c>
      <x:c r="K19" s="16" t="n">
        <x:f>IF(I19="","",I19*J19)</x:f>
        <x:v>1508</x:v>
      </x:c>
      <x:c r="L19" s="16" t="n">
        <x:f>IF(K19="","",K19/D19)</x:f>
        <x:v>6.993623188405797</x:v>
      </x:c>
      <x:c r="M19" s="16" t="n">
        <x:v>2900</x:v>
      </x:c>
      <x:c r="N19" s="18" t="n">
        <x:v>0.5</x:v>
      </x:c>
      <x:c r="O19" s="16" t="n">
        <x:f>IF(M19="","",M19*N19)</x:f>
        <x:v>1450</x:v>
      </x:c>
      <x:c r="P19" s="16" t="n">
        <x:f>IF(O19="","",O19/D19)</x:f>
        <x:v>6.72463768115942</x:v>
      </x:c>
    </x:row>
    <x:row r="20">
      <x:c r="A20" t="str">
        <x:v>Huancayo - Huancavelica - Ayacucho</x:v>
      </x:c>
      <x:c r="B20" s="14" t="n">
        <x:v>1449</x:v>
      </x:c>
      <x:c r="C20" s="14" t="n">
        <x:v>9.6</x:v>
      </x:c>
      <x:c r="D20" s="14" t="n">
        <x:f>B20/C20</x:f>
        <x:v>150.9375</x:v>
      </x:c>
      <x:c r="E20" s="16" t="n">
        <x:v>6900</x:v>
      </x:c>
      <x:c r="F20" s="18" t="n">
        <x:v>0.55</x:v>
      </x:c>
      <x:c r="G20" s="16" t="n">
        <x:f>IF(E20="","",E20*F20)</x:f>
        <x:v>3795.0000000000005</x:v>
      </x:c>
      <x:c r="H20" s="16" t="n">
        <x:f>IF(G20="","",G20/D20)</x:f>
        <x:v>25.142857142857146</x:v>
      </x:c>
      <x:c r="I20" s="16" t="n">
        <x:v>6900</x:v>
      </x:c>
      <x:c r="J20" s="18" t="n">
        <x:v>0.52</x:v>
      </x:c>
      <x:c r="K20" s="16" t="n">
        <x:f>IF(I20="","",I20*J20)</x:f>
        <x:v>3588</x:v>
      </x:c>
      <x:c r="L20" s="16" t="n">
        <x:f>IF(K20="","",K20/D20)</x:f>
        <x:v>23.771428571428572</x:v>
      </x:c>
      <x:c r="M20" s="16" t="n">
        <x:v>6900</x:v>
      </x:c>
      <x:c r="N20" s="18" t="n">
        <x:v>0.5</x:v>
      </x:c>
      <x:c r="O20" s="16" t="n">
        <x:f>IF(M20="","",M20*N20)</x:f>
        <x:v>3450</x:v>
      </x:c>
      <x:c r="P20" s="16" t="n">
        <x:f>IF(O20="","",O20/D20)</x:f>
        <x:v>22.857142857142858</x:v>
      </x:c>
    </x:row>
    <x:row r="21">
      <x:c r="A21" t="str">
        <x:v>Huanuco - Pucallpa</x:v>
      </x:c>
      <x:c r="B21" s="14" t="n">
        <x:v>1897.4999999999998</x:v>
      </x:c>
      <x:c r="C21" s="14" t="n">
        <x:v>9.6</x:v>
      </x:c>
      <x:c r="D21" s="14" t="n">
        <x:f>B21/C21</x:f>
        <x:v>197.65624999999997</x:v>
      </x:c>
      <x:c r="E21" s="16" t="n">
        <x:v>7900</x:v>
      </x:c>
      <x:c r="F21" s="18" t="n">
        <x:v>0.5</x:v>
      </x:c>
      <x:c r="G21" s="16" t="n">
        <x:f>IF(E21="","",E21*F21)</x:f>
        <x:v>3950</x:v>
      </x:c>
      <x:c r="H21" s="16" t="n">
        <x:f>IF(G21="","",G21/D21)</x:f>
        <x:v>19.98418972332016</x:v>
      </x:c>
      <x:c r="I21" s="16" t="n">
        <x:v>7900</x:v>
      </x:c>
      <x:c r="J21" s="18" t="n">
        <x:v>0.52</x:v>
      </x:c>
      <x:c r="K21" s="16" t="n">
        <x:f>IF(I21="","",I21*J21)</x:f>
        <x:v>4108</x:v>
      </x:c>
      <x:c r="L21" s="16" t="n">
        <x:f>IF(K21="","",K21/D21)</x:f>
        <x:v>20.783557312252967</x:v>
      </x:c>
      <x:c r="M21" s="16" t="n">
        <x:v>7900</x:v>
      </x:c>
      <x:c r="N21" s="18" t="n">
        <x:v>0.5</x:v>
      </x:c>
      <x:c r="O21" s="16" t="n">
        <x:f>IF(M21="","",M21*N21)</x:f>
        <x:v>3950</x:v>
      </x:c>
      <x:c r="P21" s="16" t="n">
        <x:f>IF(O21="","",O21/D21)</x:f>
        <x:v>19.98418972332016</x:v>
      </x:c>
    </x:row>
    <x:row r="22">
      <x:c r="A22" t="str">
        <x:v>Huanuco - Tingo Maria - Chanchamayo - Satipo</x:v>
      </x:c>
      <x:c r="B22" s="14" t="n">
        <x:v>1690.4999999999998</x:v>
      </x:c>
      <x:c r="C22" s="14" t="n">
        <x:v>9.6</x:v>
      </x:c>
      <x:c r="D22" s="14" t="n">
        <x:f>B22/C22</x:f>
        <x:v>176.09374999999997</x:v>
      </x:c>
      <x:c r="E22" s="16" t="n">
        <x:v>6500</x:v>
      </x:c>
      <x:c r="F22" s="18" t="n">
        <x:v>0.5</x:v>
      </x:c>
      <x:c r="G22" s="16" t="n">
        <x:f>IF(E22="","",E22*F22)</x:f>
        <x:v>3250</x:v>
      </x:c>
      <x:c r="H22" s="16" t="n">
        <x:f>IF(G22="","",G22/D22)</x:f>
        <x:v>18.456078083407277</x:v>
      </x:c>
      <x:c r="I22" s="16" t="n">
        <x:v>6500</x:v>
      </x:c>
      <x:c r="J22" s="18" t="n">
        <x:v>0.52</x:v>
      </x:c>
      <x:c r="K22" s="16" t="n">
        <x:f>IF(I22="","",I22*J22)</x:f>
        <x:v>3380</x:v>
      </x:c>
      <x:c r="L22" s="16" t="n">
        <x:f>IF(K22="","",K22/D22)</x:f>
        <x:v>19.19432120674357</x:v>
      </x:c>
      <x:c r="M22" s="16" t="n">
        <x:v>6500</x:v>
      </x:c>
      <x:c r="N22" s="18" t="n">
        <x:v>0.5</x:v>
      </x:c>
      <x:c r="O22" s="16" t="n">
        <x:f>IF(M22="","",M22*N22)</x:f>
        <x:v>3250</x:v>
      </x:c>
      <x:c r="P22" s="16" t="n">
        <x:f>IF(O22="","",O22/D22)</x:f>
        <x:v>18.456078083407277</x:v>
      </x:c>
    </x:row>
    <x:row r="23">
      <x:c r="A23" t="str">
        <x:v>Huanuco - Tingo Maria - Pucallpa</x:v>
      </x:c>
      <x:c r="B23" s="14" t="n">
        <x:v>1897.4999999999998</x:v>
      </x:c>
      <x:c r="C23" s="14" t="n">
        <x:v>9.6</x:v>
      </x:c>
      <x:c r="D23" s="14" t="n">
        <x:f>B23/C23</x:f>
        <x:v>197.65624999999997</x:v>
      </x:c>
      <x:c r="E23" s="16" t="n">
        <x:v>7900</x:v>
      </x:c>
      <x:c r="F23" s="18" t="n">
        <x:v>0.5</x:v>
      </x:c>
      <x:c r="G23" s="16" t="n">
        <x:f>IF(E23="","",E23*F23)</x:f>
        <x:v>3950</x:v>
      </x:c>
      <x:c r="H23" s="16" t="n">
        <x:f>IF(G23="","",G23/D23)</x:f>
        <x:v>19.98418972332016</x:v>
      </x:c>
      <x:c r="I23" s="16" t="n">
        <x:v>7900</x:v>
      </x:c>
      <x:c r="J23" s="18" t="n">
        <x:v>0.52</x:v>
      </x:c>
      <x:c r="K23" s="16" t="n">
        <x:f>IF(I23="","",I23*J23)</x:f>
        <x:v>4108</x:v>
      </x:c>
      <x:c r="L23" s="16" t="n">
        <x:f>IF(K23="","",K23/D23)</x:f>
        <x:v>20.783557312252967</x:v>
      </x:c>
      <x:c r="M23" s="16" t="n">
        <x:v>7900</x:v>
      </x:c>
      <x:c r="N23" s="18" t="n">
        <x:v>0.5</x:v>
      </x:c>
      <x:c r="O23" s="16" t="n">
        <x:f>IF(M23="","",M23*N23)</x:f>
        <x:v>3950</x:v>
      </x:c>
      <x:c r="P23" s="16" t="n">
        <x:f>IF(O23="","",O23/D23)</x:f>
        <x:v>19.98418972332016</x:v>
      </x:c>
    </x:row>
    <x:row r="24">
      <x:c r="A24" t="str">
        <x:v>Jaen</x:v>
      </x:c>
      <x:c r="B24" s="14" t="n">
        <x:v>2484</x:v>
      </x:c>
      <x:c r="C24" s="14" t="n">
        <x:v>9.6</x:v>
      </x:c>
      <x:c r="D24" s="14" t="n">
        <x:f>B24/C24</x:f>
        <x:v>258.75</x:v>
      </x:c>
      <x:c r="E24" s="16" t="n">
        <x:v>10200</x:v>
      </x:c>
      <x:c r="F24" s="18" t="n">
        <x:v>0.6</x:v>
      </x:c>
      <x:c r="G24" s="16" t="n">
        <x:f>IF(E24="","",E24*F24)</x:f>
        <x:v>6120</x:v>
      </x:c>
      <x:c r="H24" s="16" t="n">
        <x:f>IF(G24="","",G24/D24)</x:f>
        <x:v>23.652173913043477</x:v>
      </x:c>
      <x:c r="I24" s="16" t="n">
        <x:v>13000</x:v>
      </x:c>
      <x:c r="J24" s="18" t="n">
        <x:v>0.52</x:v>
      </x:c>
      <x:c r="K24" s="16" t="n">
        <x:f>IF(I24="","",I24*J24)</x:f>
        <x:v>6760</x:v>
      </x:c>
      <x:c r="L24" s="16" t="n">
        <x:f>IF(K24="","",K24/D24)</x:f>
        <x:v>26.1256038647343</x:v>
      </x:c>
      <x:c r="M24" s="16" t="n">
        <x:v>13000</x:v>
      </x:c>
      <x:c r="N24" s="18" t="n">
        <x:v>0.5</x:v>
      </x:c>
      <x:c r="O24" s="16" t="n">
        <x:f>IF(M24="","",M24*N24)</x:f>
        <x:v>6500</x:v>
      </x:c>
      <x:c r="P24" s="16" t="n">
        <x:f>IF(O24="","",O24/D24)</x:f>
        <x:v>25.120772946859905</x:v>
      </x:c>
    </x:row>
    <x:row r="25">
      <x:c r="A25" t="str">
        <x:v>Mazuko</x:v>
      </x:c>
      <x:c r="B25" s="14" t="n">
        <x:v>3564.9999999999995</x:v>
      </x:c>
      <x:c r="C25" s="14" t="n">
        <x:v>9.6</x:v>
      </x:c>
      <x:c r="D25" s="14" t="n">
        <x:f>B25/C25</x:f>
        <x:v>371.35416666666663</x:v>
      </x:c>
      <x:c r="E25" s="16" t="n">
        <x:v>14159</x:v>
      </x:c>
      <x:c r="F25" s="18" t="n">
        <x:v>0.5</x:v>
      </x:c>
      <x:c r="G25" s="16" t="n">
        <x:f>IF(E25="","",E25*F25)</x:f>
        <x:v>7079.5</x:v>
      </x:c>
      <x:c r="H25" s="16" t="n">
        <x:f>IF(G25="","",G25/D25)</x:f>
        <x:v>19.064011220196356</x:v>
      </x:c>
      <x:c r="I25" s="16" t="n">
        <x:v>14159</x:v>
      </x:c>
      <x:c r="J25" s="18" t="n">
        <x:v>0.52</x:v>
      </x:c>
      <x:c r="K25" s="16" t="n">
        <x:f>IF(I25="","",I25*J25)</x:f>
        <x:v>7362.68</x:v>
      </x:c>
      <x:c r="L25" s="16" t="n">
        <x:f>IF(K25="","",K25/D25)</x:f>
        <x:v>19.82657166900421</x:v>
      </x:c>
      <x:c r="M25" s="16" t="n">
        <x:v>14159</x:v>
      </x:c>
      <x:c r="N25" s="18" t="n">
        <x:v>0.5</x:v>
      </x:c>
      <x:c r="O25" s="16" t="n">
        <x:f>IF(M25="","",M25*N25)</x:f>
        <x:v>7079.5</x:v>
      </x:c>
      <x:c r="P25" s="16" t="n">
        <x:f>IF(O25="","",O25/D25)</x:f>
        <x:v>19.064011220196356</x:v>
      </x:c>
    </x:row>
    <x:row r="26">
      <x:c r="A26" t="str">
        <x:v>Motupe</x:v>
      </x:c>
      <x:c r="B26" s="14" t="n">
        <x:v>1966.4999999999998</x:v>
      </x:c>
      <x:c r="C26" s="14" t="n">
        <x:v>9.6</x:v>
      </x:c>
      <x:c r="D26" s="14" t="n">
        <x:f>B26/C26</x:f>
        <x:v>204.84374999999997</x:v>
      </x:c>
      <x:c r="E26" s="16" t="n">
        <x:v>6214</x:v>
      </x:c>
      <x:c r="F26" s="18" t="n">
        <x:v>0.6</x:v>
      </x:c>
      <x:c r="G26" s="16" t="n">
        <x:f>IF(E26="","",E26*F26)</x:f>
        <x:v>3728.3999999999996</x:v>
      </x:c>
      <x:c r="H26" s="16" t="n">
        <x:f>IF(G26="","",G26/D26)</x:f>
        <x:v>18.201189931350115</x:v>
      </x:c>
      <x:c r="I26" s="16" t="n">
        <x:v>6214</x:v>
      </x:c>
      <x:c r="J26" s="18" t="n">
        <x:v>0.52</x:v>
      </x:c>
      <x:c r="K26" s="16" t="n">
        <x:f>IF(I26="","",I26*J26)</x:f>
        <x:v>3231.28</x:v>
      </x:c>
      <x:c r="L26" s="16" t="n">
        <x:f>IF(K26="","",K26/D26)</x:f>
        <x:v>15.774364607170103</x:v>
      </x:c>
      <x:c r="M26" s="16" t="n">
        <x:v>6214</x:v>
      </x:c>
      <x:c r="N26" s="18" t="n">
        <x:v>0.5</x:v>
      </x:c>
      <x:c r="O26" s="16" t="n">
        <x:f>IF(M26="","",M26*N26)</x:f>
        <x:v>3107</x:v>
      </x:c>
      <x:c r="P26" s="16" t="n">
        <x:f>IF(O26="","",O26/D26)</x:f>
        <x:v>15.167658276125097</x:v>
      </x:c>
    </x:row>
    <x:row r="27">
      <x:c r="A27" t="str">
        <x:v>Piura</x:v>
      </x:c>
      <x:c r="B27" s="14" t="n">
        <x:v>2231</x:v>
      </x:c>
      <x:c r="C27" s="14" t="n">
        <x:v>9.6</x:v>
      </x:c>
      <x:c r="D27" s="14" t="n">
        <x:f>B27/C27</x:f>
        <x:v>232.39583333333334</x:v>
      </x:c>
      <x:c r="E27" s="16" t="n">
        <x:v>8110</x:v>
      </x:c>
      <x:c r="F27" s="18" t="n">
        <x:v>0.55</x:v>
      </x:c>
      <x:c r="G27" s="16" t="n">
        <x:f>IF(E27="","",E27*F27)</x:f>
        <x:v>4460.5</x:v>
      </x:c>
      <x:c r="H27" s="16" t="n">
        <x:f>IF(G27="","",G27/D27)</x:f>
        <x:v>19.193545495293588</x:v>
      </x:c>
      <x:c r="I27" s="16" t="n">
        <x:v>8110</x:v>
      </x:c>
      <x:c r="J27" s="18" t="n">
        <x:v>0.52</x:v>
      </x:c>
      <x:c r="K27" s="16" t="n">
        <x:f>IF(I27="","",I27*J27)</x:f>
        <x:v>4217.2</x:v>
      </x:c>
      <x:c r="L27" s="16" t="n">
        <x:f>IF(K27="","",K27/D27)</x:f>
        <x:v>18.14662483191394</x:v>
      </x:c>
      <x:c r="M27" s="16" t="n">
        <x:v>8110</x:v>
      </x:c>
      <x:c r="N27" s="18" t="n">
        <x:v>0.5</x:v>
      </x:c>
      <x:c r="O27" s="16" t="n">
        <x:f>IF(M27="","",M27*N27)</x:f>
        <x:v>4055</x:v>
      </x:c>
      <x:c r="P27" s="16" t="n">
        <x:f>IF(O27="","",O27/D27)</x:f>
        <x:v>17.448677722994173</x:v>
      </x:c>
    </x:row>
    <x:row r="28">
      <x:c r="A28" t="str">
        <x:v>Pucallpa</x:v>
      </x:c>
      <x:c r="B28" s="14" t="n">
        <x:v>1747.9999999999998</x:v>
      </x:c>
      <x:c r="C28" s="14" t="n">
        <x:v>9.6</x:v>
      </x:c>
      <x:c r="D28" s="14" t="n">
        <x:f>B28/C28</x:f>
        <x:v>182.08333333333331</x:v>
      </x:c>
      <x:c r="E28" s="16" t="n">
        <x:v>7900</x:v>
      </x:c>
      <x:c r="F28" s="18" t="n">
        <x:v>0.5</x:v>
      </x:c>
      <x:c r="G28" s="16" t="n">
        <x:f>IF(E28="","",E28*F28)</x:f>
        <x:v>3950</x:v>
      </x:c>
      <x:c r="H28" s="16" t="n">
        <x:f>IF(G28="","",G28/D28)</x:f>
        <x:v>21.693363844393595</x:v>
      </x:c>
      <x:c r="I28" s="16" t="n">
        <x:v>7900</x:v>
      </x:c>
      <x:c r="J28" s="18" t="n">
        <x:v>0.52</x:v>
      </x:c>
      <x:c r="K28" s="16" t="n">
        <x:f>IF(I28="","",I28*J28)</x:f>
        <x:v>4108</x:v>
      </x:c>
      <x:c r="L28" s="16" t="n">
        <x:f>IF(K28="","",K28/D28)</x:f>
        <x:v>22.56109839816934</x:v>
      </x:c>
      <x:c r="M28" s="16" t="n">
        <x:v>7900</x:v>
      </x:c>
      <x:c r="N28" s="18" t="n">
        <x:v>0.5</x:v>
      </x:c>
      <x:c r="O28" s="16" t="n">
        <x:f>IF(M28="","",M28*N28)</x:f>
        <x:v>3950</x:v>
      </x:c>
      <x:c r="P28" s="16" t="n">
        <x:f>IF(O28="","",O28/D28)</x:f>
        <x:v>21.693363844393595</x:v>
      </x:c>
    </x:row>
    <x:row r="29">
      <x:c r="A29" t="str">
        <x:v>Trujillo</x:v>
      </x:c>
      <x:c r="B29" s="14" t="n">
        <x:v>1288</x:v>
      </x:c>
      <x:c r="C29" s="14" t="n">
        <x:v>9.6</x:v>
      </x:c>
      <x:c r="D29" s="14" t="n">
        <x:f>B29/C29</x:f>
        <x:v>134.16666666666669</x:v>
      </x:c>
      <x:c r="E29" s="16" t="n">
        <x:v>4500</x:v>
      </x:c>
      <x:c r="F29" s="18" t="n">
        <x:v>0.7</x:v>
      </x:c>
      <x:c r="G29" s="16" t="n">
        <x:f>IF(E29="","",E29*F29)</x:f>
        <x:v>3150</x:v>
      </x:c>
      <x:c r="H29" s="16" t="n">
        <x:f>IF(G29="","",G29/D29)</x:f>
        <x:v>23.478260869565215</x:v>
      </x:c>
      <x:c r="I29" s="16" t="n">
        <x:v>3500</x:v>
      </x:c>
      <x:c r="J29" s="18" t="n">
        <x:v>0.52</x:v>
      </x:c>
      <x:c r="K29" s="16" t="n">
        <x:f>IF(I29="","",I29*J29)</x:f>
        <x:v>1820</x:v>
      </x:c>
      <x:c r="L29" s="16" t="n">
        <x:f>IF(K29="","",K29/D29)</x:f>
        <x:v>13.565217391304346</x:v>
      </x:c>
      <x:c r="M29" s="16" t="n">
        <x:v>3500</x:v>
      </x:c>
      <x:c r="N29" s="18" t="n">
        <x:v>0.5</x:v>
      </x:c>
      <x:c r="O29" s="16" t="n">
        <x:f>IF(M29="","",M29*N29)</x:f>
        <x:v>1750</x:v>
      </x:c>
      <x:c r="P29" s="16" t="n">
        <x:f>IF(O29="","",O29/D29)</x:f>
        <x:v>13.043478260869563</x:v>
      </x:c>
    </x:row>
    <x:row r="30">
      <x:c r="A30" t="str">
        <x:v>Trujillo - Chiclayo</x:v>
      </x:c>
      <x:c r="B30" s="14" t="n">
        <x:v>1839.9999999999998</x:v>
      </x:c>
      <x:c r="C30" s="14" t="n">
        <x:v>9.6</x:v>
      </x:c>
      <x:c r="D30" s="14" t="n">
        <x:f>B30/C30</x:f>
        <x:v>191.66666666666666</x:v>
      </x:c>
      <x:c r="E30" s="16" t="n">
        <x:v>6185</x:v>
      </x:c>
      <x:c r="F30" s="18" t="n">
        <x:v>0.7</x:v>
      </x:c>
      <x:c r="G30" s="16" t="n">
        <x:f>IF(E30="","",E30*F30)</x:f>
        <x:v>4329.5</x:v>
      </x:c>
      <x:c r="H30" s="16" t="n">
        <x:f>IF(G30="","",G30/D30)</x:f>
        <x:v>22.588695652173914</x:v>
      </x:c>
      <x:c r="I30" s="16" t="n">
        <x:v>6185</x:v>
      </x:c>
      <x:c r="J30" s="18" t="n">
        <x:v>0.52</x:v>
      </x:c>
      <x:c r="K30" s="16" t="n">
        <x:f>IF(I30="","",I30*J30)</x:f>
        <x:v>3216.2000000000003</x:v>
      </x:c>
      <x:c r="L30" s="16" t="n">
        <x:f>IF(K30="","",K30/D30)</x:f>
        <x:v>16.78017391304348</x:v>
      </x:c>
      <x:c r="M30" s="16" t="n">
        <x:v>6185</x:v>
      </x:c>
      <x:c r="N30" s="18" t="n">
        <x:v>0.5</x:v>
      </x:c>
      <x:c r="O30" s="16" t="n">
        <x:f>IF(M30="","",M30*N30)</x:f>
        <x:v>3092.5</x:v>
      </x:c>
      <x:c r="P30" s="16" t="n">
        <x:f>IF(O30="","",O30/D30)</x:f>
        <x:v>16.13478260869565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10" t="str">
        <x:v>Cálculo S/gal con kilometraje actualizado — Actual desde Abr-2026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</x:row>
    <x:row r="3">
      <x:c r="A3" s="4" t="str">
        <x:v>Ruta</x:v>
      </x:c>
      <x:c r="B3" s="4" t="str">
        <x:v>Km final</x:v>
      </x:c>
      <x:c r="C3" s="4" t="str">
        <x:v>Eficiencia km/gal</x:v>
      </x:c>
      <x:c r="D3" s="4" t="str">
        <x:v>Galones</x:v>
      </x:c>
      <x:c r="E3" s="4" t="str">
        <x:v>Tarifa HECARO</x:v>
      </x:c>
      <x:c r="F3" s="4" t="str">
        <x:v>% Comb HECARO</x:v>
      </x:c>
      <x:c r="G3" s="4" t="str">
        <x:v>S/ Comb HECARO</x:v>
      </x:c>
      <x:c r="H3" s="4" t="str">
        <x:v>S/gal HECARO</x:v>
      </x:c>
      <x:c r="I3" s="4" t="str">
        <x:v>Tarifa LMG</x:v>
      </x:c>
      <x:c r="J3" s="4" t="str">
        <x:v>% Comb LMG</x:v>
      </x:c>
      <x:c r="K3" s="4" t="str">
        <x:v>S/ Comb LMG</x:v>
      </x:c>
      <x:c r="L3" s="4" t="str">
        <x:v>S/gal LMG</x:v>
      </x:c>
      <x:c r="M3" s="4" t="str">
        <x:v>Tarifa QOLPARO</x:v>
      </x:c>
      <x:c r="N3" s="4" t="str">
        <x:v>% Comb QOLPARO</x:v>
      </x:c>
      <x:c r="O3" s="4" t="str">
        <x:v>S/ Comb QOLPARO</x:v>
      </x:c>
      <x:c r="P3" s="4" t="str">
        <x:v>S/gal QOLPARO</x:v>
      </x:c>
    </x:row>
    <x:row r="4">
      <x:c r="A4" t="str">
        <x:v>Mazuko</x:v>
      </x:c>
      <x:c r="B4" s="14" t="n">
        <x:v>3564.9999999999995</x:v>
      </x:c>
      <x:c r="C4" s="14" t="n">
        <x:v>9.6</x:v>
      </x:c>
      <x:c r="D4" s="14" t="n">
        <x:f>B4/C4</x:f>
        <x:v>371.35416666666663</x:v>
      </x:c>
      <x:c r="E4" s="16" t="n">
        <x:v>17415.57</x:v>
      </x:c>
      <x:c r="F4" s="18" t="n">
        <x:v>0.5</x:v>
      </x:c>
      <x:c r="G4" s="16" t="n">
        <x:f>IF(E4="","",E4*F4)</x:f>
        <x:v>8707.785</x:v>
      </x:c>
      <x:c r="H4" s="16" t="n">
        <x:f>IF(G4="","",G4/D4)</x:f>
        <x:v>23.448733800841516</x:v>
      </x:c>
      <x:c r="I4" s="16" t="n">
        <x:v>16500</x:v>
      </x:c>
      <x:c r="J4" s="18" t="n">
        <x:v>0.52</x:v>
      </x:c>
      <x:c r="K4" s="16" t="n">
        <x:f>IF(I4="","",I4*J4)</x:f>
        <x:v>8580</x:v>
      </x:c>
      <x:c r="L4" s="16" t="n">
        <x:f>IF(K4="","",K4/D4)</x:f>
        <x:v>23.104628330995794</x:v>
      </x:c>
      <x:c r="M4" s="16"/>
      <x:c r="N4" s="18" t="n">
        <x:v>0.5</x:v>
      </x:c>
      <x:c r="O4" s="16" t="str">
        <x:f>IF(M4="","",M4*N4)</x:f>
      </x:c>
      <x:c r="P4" s="16" t="str">
        <x:f>IF(O4="","",O4/D4)</x:f>
      </x:c>
    </x:row>
    <x:row r="5">
      <x:c r="A5" t="str">
        <x:v>Ancash - Chimbote</x:v>
      </x:c>
      <x:c r="B5" s="14" t="n">
        <x:v>1460.5</x:v>
      </x:c>
      <x:c r="C5" s="14" t="n">
        <x:v>9.6</x:v>
      </x:c>
      <x:c r="D5" s="14" t="n">
        <x:f>B5/C5</x:f>
        <x:v>152.13541666666669</x:v>
      </x:c>
      <x:c r="E5" s="16" t="n">
        <x:v>6718.95</x:v>
      </x:c>
      <x:c r="F5" s="18" t="n">
        <x:v>0.6</x:v>
      </x:c>
      <x:c r="G5" s="16" t="n">
        <x:f>IF(E5="","",E5*F5)</x:f>
        <x:v>4031.37</x:v>
      </x:c>
      <x:c r="H5" s="16" t="n">
        <x:f>IF(G5="","",G5/D5)</x:f>
        <x:v>26.498563505648747</x:v>
      </x:c>
      <x:c r="I5" s="16"/>
      <x:c r="J5" s="18" t="n">
        <x:v>0.52</x:v>
      </x:c>
      <x:c r="K5" s="16" t="str">
        <x:f>IF(I5="","",I5*J5)</x:f>
      </x:c>
      <x:c r="L5" s="16" t="str">
        <x:f>IF(K5="","",K5/D5)</x:f>
      </x:c>
      <x:c r="M5" s="16" t="n">
        <x:v>12000</x:v>
      </x:c>
      <x:c r="N5" s="18" t="n">
        <x:v>0.5</x:v>
      </x:c>
      <x:c r="O5" s="16" t="n">
        <x:f>IF(M5="","",M5*N5)</x:f>
        <x:v>6000</x:v>
      </x:c>
      <x:c r="P5" s="16" t="n">
        <x:f>IF(O5="","",O5/D5)</x:f>
        <x:v>39.43854844231427</x:v>
      </x:c>
    </x:row>
    <x:row r="6">
      <x:c r="A6" t="str">
        <x:v>Arequipa</x:v>
      </x:c>
      <x:c r="B6" s="14" t="n">
        <x:v>2346</x:v>
      </x:c>
      <x:c r="C6" s="14" t="n">
        <x:v>9.6</x:v>
      </x:c>
      <x:c r="D6" s="14" t="n">
        <x:f>B6/C6</x:f>
        <x:v>244.375</x:v>
      </x:c>
      <x:c r="E6" s="16"/>
      <x:c r="F6" s="18" t="n">
        <x:v>0.65</x:v>
      </x:c>
      <x:c r="G6" s="16" t="str">
        <x:f>IF(E6="","",E6*F6)</x:f>
      </x:c>
      <x:c r="H6" s="16" t="str">
        <x:f>IF(G6="","",G6/D6)</x:f>
      </x:c>
      <x:c r="I6" s="16" t="n">
        <x:v>10750</x:v>
      </x:c>
      <x:c r="J6" s="18" t="n">
        <x:v>0.52</x:v>
      </x:c>
      <x:c r="K6" s="16" t="n">
        <x:f>IF(I6="","",I6*J6)</x:f>
        <x:v>5590</x:v>
      </x:c>
      <x:c r="L6" s="16" t="n">
        <x:f>IF(K6="","",K6/D6)</x:f>
        <x:v>22.874680306905372</x:v>
      </x:c>
      <x:c r="M6" s="16" t="n">
        <x:v>10000</x:v>
      </x:c>
      <x:c r="N6" s="18" t="n">
        <x:v>0.5</x:v>
      </x:c>
      <x:c r="O6" s="16" t="n">
        <x:f>IF(M6="","",M6*N6)</x:f>
        <x:v>5000</x:v>
      </x:c>
      <x:c r="P6" s="16" t="n">
        <x:f>IF(O6="","",O6/D6)</x:f>
        <x:v>20.460358056265985</x:v>
      </x:c>
    </x:row>
    <x:row r="7">
      <x:c r="A7" t="str">
        <x:v>Arequipa - Cusco</x:v>
      </x:c>
      <x:c r="B7" s="14" t="n">
        <x:v>3518.9999999999995</x:v>
      </x:c>
      <x:c r="C7" s="14" t="n">
        <x:v>9.6</x:v>
      </x:c>
      <x:c r="D7" s="14" t="n">
        <x:f>B7/C7</x:f>
        <x:v>366.56249999999994</x:v>
      </x:c>
      <x:c r="E7" s="16" t="n">
        <x:v>14145</x:v>
      </x:c>
      <x:c r="F7" s="18" t="n">
        <x:v>0.7</x:v>
      </x:c>
      <x:c r="G7" s="16" t="n">
        <x:f>IF(E7="","",E7*F7)</x:f>
        <x:v>9901.5</x:v>
      </x:c>
      <x:c r="H7" s="16" t="n">
        <x:f>IF(G7="","",G7/D7)</x:f>
        <x:v>27.011764705882356</x:v>
      </x:c>
      <x:c r="I7" s="16" t="n">
        <x:v>14145</x:v>
      </x:c>
      <x:c r="J7" s="18" t="n">
        <x:v>0.52</x:v>
      </x:c>
      <x:c r="K7" s="16" t="n">
        <x:f>IF(I7="","",I7*J7)</x:f>
        <x:v>7355.400000000001</x:v>
      </x:c>
      <x:c r="L7" s="16" t="n">
        <x:f>IF(K7="","",K7/D7)</x:f>
        <x:v>20.06588235294118</x:v>
      </x:c>
      <x:c r="M7" s="16" t="n">
        <x:v>13000</x:v>
      </x:c>
      <x:c r="N7" s="18" t="n">
        <x:v>0.5</x:v>
      </x:c>
      <x:c r="O7" s="16" t="n">
        <x:f>IF(M7="","",M7*N7)</x:f>
        <x:v>6500</x:v>
      </x:c>
      <x:c r="P7" s="16" t="n">
        <x:f>IF(O7="","",O7/D7)</x:f>
        <x:v>17.732310315430524</x:v>
      </x:c>
    </x:row>
    <x:row r="8">
      <x:c r="A8" t="str">
        <x:v>Arequipa - Juliaca</x:v>
      </x:c>
      <x:c r="B8" s="14" t="n">
        <x:v>4738</x:v>
      </x:c>
      <x:c r="C8" s="14" t="n">
        <x:v>9.6</x:v>
      </x:c>
      <x:c r="D8" s="14" t="n">
        <x:f>B8/C8</x:f>
        <x:v>493.5416666666667</x:v>
      </x:c>
      <x:c r="E8" s="16" t="n">
        <x:v>14145</x:v>
      </x:c>
      <x:c r="F8" s="18" t="n">
        <x:v>0.7</x:v>
      </x:c>
      <x:c r="G8" s="16" t="n">
        <x:f>IF(E8="","",E8*F8)</x:f>
        <x:v>9901.5</x:v>
      </x:c>
      <x:c r="H8" s="16" t="n">
        <x:f>IF(G8="","",G8/D8)</x:f>
        <x:v>20.062135922330096</x:v>
      </x:c>
      <x:c r="I8" s="16" t="n">
        <x:v>14145</x:v>
      </x:c>
      <x:c r="J8" s="18" t="n">
        <x:v>0.52</x:v>
      </x:c>
      <x:c r="K8" s="16" t="n">
        <x:f>IF(I8="","",I8*J8)</x:f>
        <x:v>7355.400000000001</x:v>
      </x:c>
      <x:c r="L8" s="16" t="n">
        <x:f>IF(K8="","",K8/D8)</x:f>
        <x:v>14.903300970873786</x:v>
      </x:c>
      <x:c r="M8" s="16" t="n">
        <x:v>12500</x:v>
      </x:c>
      <x:c r="N8" s="18" t="n">
        <x:v>0.5</x:v>
      </x:c>
      <x:c r="O8" s="16" t="n">
        <x:f>IF(M8="","",M8*N8)</x:f>
        <x:v>6250</x:v>
      </x:c>
      <x:c r="P8" s="16" t="n">
        <x:f>IF(O8="","",O8/D8)</x:f>
        <x:v>12.66357112705783</x:v>
      </x:c>
    </x:row>
    <x:row r="9">
      <x:c r="A9" t="str">
        <x:v>Arequipa - Juliaca - Cusco</x:v>
      </x:c>
      <x:c r="B9" s="14" t="n">
        <x:v>3122.2499999999995</x:v>
      </x:c>
      <x:c r="C9" s="14" t="n">
        <x:v>9.6</x:v>
      </x:c>
      <x:c r="D9" s="14" t="n">
        <x:f>B9/C9</x:f>
        <x:v>325.23437499999994</x:v>
      </x:c>
      <x:c r="E9" s="16" t="n">
        <x:v>14145</x:v>
      </x:c>
      <x:c r="F9" s="18" t="n">
        <x:v>0.7</x:v>
      </x:c>
      <x:c r="G9" s="16" t="n">
        <x:f>IF(E9="","",E9*F9)</x:f>
        <x:v>9901.5</x:v>
      </x:c>
      <x:c r="H9" s="16" t="n">
        <x:f>IF(G9="","",G9/D9)</x:f>
        <x:v>30.44419889502763</x:v>
      </x:c>
      <x:c r="I9" s="16" t="n">
        <x:v>14222</x:v>
      </x:c>
      <x:c r="J9" s="18" t="n">
        <x:v>0.52</x:v>
      </x:c>
      <x:c r="K9" s="16" t="n">
        <x:f>IF(I9="","",I9*J9)</x:f>
        <x:v>7395.4400000000005</x:v>
      </x:c>
      <x:c r="L9" s="16" t="n">
        <x:f>IF(K9="","",K9/D9)</x:f>
        <x:v>22.73880182560654</x:v>
      </x:c>
      <x:c r="M9" s="16" t="n">
        <x:v>13000</x:v>
      </x:c>
      <x:c r="N9" s="18" t="n">
        <x:v>0.5</x:v>
      </x:c>
      <x:c r="O9" s="16" t="n">
        <x:f>IF(M9="","",M9*N9)</x:f>
        <x:v>6500</x:v>
      </x:c>
      <x:c r="P9" s="16" t="n">
        <x:f>IF(O9="","",O9/D9)</x:f>
        <x:v>19.98558731683882</x:v>
      </x:c>
    </x:row>
    <x:row r="10">
      <x:c r="A10" t="str">
        <x:v>Ayacucho</x:v>
      </x:c>
      <x:c r="B10" s="14" t="n">
        <x:v>1380</x:v>
      </x:c>
      <x:c r="C10" s="14" t="n">
        <x:v>9.6</x:v>
      </x:c>
      <x:c r="D10" s="14" t="n">
        <x:f>B10/C10</x:f>
        <x:v>143.75</x:v>
      </x:c>
      <x:c r="E10" s="16" t="n">
        <x:v>5811.75</x:v>
      </x:c>
      <x:c r="F10" s="18" t="n">
        <x:v>0.55</x:v>
      </x:c>
      <x:c r="G10" s="16" t="n">
        <x:f>IF(E10="","",E10*F10)</x:f>
        <x:v>3196.4625</x:v>
      </x:c>
      <x:c r="H10" s="16" t="n">
        <x:f>IF(G10="","",G10/D10)</x:f>
        <x:v>22.236260869565218</x:v>
      </x:c>
      <x:c r="I10" s="16"/>
      <x:c r="J10" s="18" t="n">
        <x:v>0.52</x:v>
      </x:c>
      <x:c r="K10" s="16" t="str">
        <x:f>IF(I10="","",I10*J10)</x:f>
      </x:c>
      <x:c r="L10" s="16" t="str">
        <x:f>IF(K10="","",K10/D10)</x:f>
      </x:c>
      <x:c r="M10" s="16" t="n">
        <x:v>6000</x:v>
      </x:c>
      <x:c r="N10" s="18" t="n">
        <x:v>0.5</x:v>
      </x:c>
      <x:c r="O10" s="16" t="n">
        <x:f>IF(M10="","",M10*N10)</x:f>
        <x:v>3000</x:v>
      </x:c>
      <x:c r="P10" s="16" t="n">
        <x:f>IF(O10="","",O10/D10)</x:f>
        <x:v>20.869565217391305</x:v>
      </x:c>
    </x:row>
    <x:row r="11">
      <x:c r="A11" t="str">
        <x:v>Ayacucho - Huancavelica - Huanuco</x:v>
      </x:c>
      <x:c r="B11" s="14" t="n">
        <x:v>1954.9999999999998</x:v>
      </x:c>
      <x:c r="C11" s="14" t="n">
        <x:v>9.6</x:v>
      </x:c>
      <x:c r="D11" s="14" t="n">
        <x:f>B11/C11</x:f>
        <x:v>203.64583333333331</x:v>
      </x:c>
      <x:c r="E11" s="16" t="n">
        <x:v>8515.57</x:v>
      </x:c>
      <x:c r="F11" s="18" t="n">
        <x:v>0.55</x:v>
      </x:c>
      <x:c r="G11" s="16" t="n">
        <x:f>IF(E11="","",E11*F11)</x:f>
        <x:v>4683.5635</x:v>
      </x:c>
      <x:c r="H11" s="16" t="n">
        <x:f>IF(G11="","",G11/D11)</x:f>
        <x:v>22.998572685421998</x:v>
      </x:c>
      <x:c r="I11" s="16"/>
      <x:c r="J11" s="18" t="n">
        <x:v>0.52</x:v>
      </x:c>
      <x:c r="K11" s="16" t="str">
        <x:f>IF(I11="","",I11*J11)</x:f>
      </x:c>
      <x:c r="L11" s="16" t="str">
        <x:f>IF(K11="","",K11/D11)</x:f>
      </x:c>
      <x:c r="M11" s="16" t="n">
        <x:v>7499.25</x:v>
      </x:c>
      <x:c r="N11" s="18" t="n">
        <x:v>0.5</x:v>
      </x:c>
      <x:c r="O11" s="16" t="n">
        <x:f>IF(M11="","",M11*N11)</x:f>
        <x:v>3749.625</x:v>
      </x:c>
      <x:c r="P11" s="16" t="n">
        <x:f>IF(O11="","",O11/D11)</x:f>
        <x:v>18.412480818414323</x:v>
      </x:c>
    </x:row>
    <x:row r="12">
      <x:c r="A12" t="str">
        <x:v>Cañete - Ica - Nazca</x:v>
      </x:c>
      <x:c r="B12" s="14" t="n">
        <x:v>963.6999999999999</x:v>
      </x:c>
      <x:c r="C12" s="14" t="n">
        <x:v>9.6</x:v>
      </x:c>
      <x:c r="D12" s="14" t="n">
        <x:f>B12/C12</x:f>
        <x:v>100.38541666666666</x:v>
      </x:c>
      <x:c r="E12" s="16" t="n">
        <x:v>3750.82</x:v>
      </x:c>
      <x:c r="F12" s="18" t="n">
        <x:v>0.5</x:v>
      </x:c>
      <x:c r="G12" s="16" t="n">
        <x:f>IF(E12="","",E12*F12)</x:f>
        <x:v>1875.41</x:v>
      </x:c>
      <x:c r="H12" s="16" t="n">
        <x:f>IF(G12="","",G12/D12)</x:f>
        <x:v>18.682096087994193</x:v>
      </x:c>
      <x:c r="I12" s="16"/>
      <x:c r="J12" s="18" t="n">
        <x:v>0.52</x:v>
      </x:c>
      <x:c r="K12" s="16" t="str">
        <x:f>IF(I12="","",I12*J12)</x:f>
      </x:c>
      <x:c r="L12" s="16" t="str">
        <x:f>IF(K12="","",K12/D12)</x:f>
      </x:c>
      <x:c r="M12" s="16" t="n">
        <x:v>4499.55</x:v>
      </x:c>
      <x:c r="N12" s="18" t="n">
        <x:v>0.5</x:v>
      </x:c>
      <x:c r="O12" s="16" t="n">
        <x:f>IF(M12="","",M12*N12)</x:f>
        <x:v>2249.775</x:v>
      </x:c>
      <x:c r="P12" s="16" t="n">
        <x:f>IF(O12="","",O12/D12)</x:f>
        <x:v>22.411372833869464</x:v>
      </x:c>
    </x:row>
    <x:row r="13">
      <x:c r="A13" t="str">
        <x:v>Chiclayo - Motupe</x:v>
      </x:c>
      <x:c r="B13" s="14" t="n">
        <x:v>1966.4999999999998</x:v>
      </x:c>
      <x:c r="C13" s="14" t="n">
        <x:v>9.6</x:v>
      </x:c>
      <x:c r="D13" s="14" t="n">
        <x:f>B13/C13</x:f>
        <x:v>204.84374999999997</x:v>
      </x:c>
      <x:c r="E13" s="16" t="n">
        <x:v>10393.5</x:v>
      </x:c>
      <x:c r="F13" s="18" t="n">
        <x:v>0.6</x:v>
      </x:c>
      <x:c r="G13" s="16" t="n">
        <x:f>IF(E13="","",E13*F13)</x:f>
        <x:v>6236.099999999999</x:v>
      </x:c>
      <x:c r="H13" s="16" t="n">
        <x:f>IF(G13="","",G13/D13)</x:f>
        <x:v>30.44320366132723</x:v>
      </x:c>
      <x:c r="I13" s="16"/>
      <x:c r="J13" s="18" t="n">
        <x:v>0.52</x:v>
      </x:c>
      <x:c r="K13" s="16" t="str">
        <x:f>IF(I13="","",I13*J13)</x:f>
      </x:c>
      <x:c r="L13" s="16" t="str">
        <x:f>IF(K13="","",K13/D13)</x:f>
      </x:c>
      <x:c r="M13" s="16" t="n">
        <x:v>9000</x:v>
      </x:c>
      <x:c r="N13" s="18" t="n">
        <x:v>0.5</x:v>
      </x:c>
      <x:c r="O13" s="16" t="n">
        <x:f>IF(M13="","",M13*N13)</x:f>
        <x:v>4500</x:v>
      </x:c>
      <x:c r="P13" s="16" t="n">
        <x:f>IF(O13="","",O13/D13)</x:f>
        <x:v>21.967963386727693</x:v>
      </x:c>
    </x:row>
    <x:row r="14">
      <x:c r="A14" t="str">
        <x:v>Chiclayo - Motupe - Cajamarca</x:v>
      </x:c>
      <x:c r="B14" s="14" t="n">
        <x:v>2254</x:v>
      </x:c>
      <x:c r="C14" s="14" t="n">
        <x:v>9.6</x:v>
      </x:c>
      <x:c r="D14" s="14" t="n">
        <x:f>B14/C14</x:f>
        <x:v>234.79166666666669</x:v>
      </x:c>
      <x:c r="E14" s="16" t="n">
        <x:v>13530</x:v>
      </x:c>
      <x:c r="F14" s="18" t="n">
        <x:v>0.6</x:v>
      </x:c>
      <x:c r="G14" s="16" t="n">
        <x:f>IF(E14="","",E14*F14)</x:f>
        <x:v>8118</x:v>
      </x:c>
      <x:c r="H14" s="16" t="n">
        <x:f>IF(G14="","",G14/D14)</x:f>
        <x:v>34.575332741792366</x:v>
      </x:c>
      <x:c r="I14" s="16" t="n">
        <x:v>13000</x:v>
      </x:c>
      <x:c r="J14" s="18" t="n">
        <x:v>0.52</x:v>
      </x:c>
      <x:c r="K14" s="16" t="n">
        <x:f>IF(I14="","",I14*J14)</x:f>
        <x:v>6760</x:v>
      </x:c>
      <x:c r="L14" s="16" t="n">
        <x:f>IF(K14="","",K14/D14)</x:f>
        <x:v>28.791481810115346</x:v>
      </x:c>
      <x:c r="M14" s="16" t="n">
        <x:v>13530</x:v>
      </x:c>
      <x:c r="N14" s="18" t="n">
        <x:v>0.5</x:v>
      </x:c>
      <x:c r="O14" s="16" t="n">
        <x:f>IF(M14="","",M14*N14)</x:f>
        <x:v>6765</x:v>
      </x:c>
      <x:c r="P14" s="16" t="n">
        <x:f>IF(O14="","",O14/D14)</x:f>
        <x:v>28.81277728482697</x:v>
      </x:c>
    </x:row>
    <x:row r="15">
      <x:c r="A15" t="str">
        <x:v>Cusco</x:v>
      </x:c>
      <x:c r="B15" s="14" t="n">
        <x:v>3334.9999999999995</x:v>
      </x:c>
      <x:c r="C15" s="14" t="n">
        <x:v>9.6</x:v>
      </x:c>
      <x:c r="D15" s="14" t="n">
        <x:f>B15/C15</x:f>
        <x:v>347.3958333333333</x:v>
      </x:c>
      <x:c r="E15" s="16" t="n">
        <x:v>12865.8</x:v>
      </x:c>
      <x:c r="F15" s="18" t="n">
        <x:v>0.7</x:v>
      </x:c>
      <x:c r="G15" s="16" t="n">
        <x:f>IF(E15="","",E15*F15)</x:f>
        <x:v>9006.06</x:v>
      </x:c>
      <x:c r="H15" s="16" t="n">
        <x:f>IF(G15="","",G15/D15)</x:f>
        <x:v>25.924490554722638</x:v>
      </x:c>
      <x:c r="I15" s="16"/>
      <x:c r="J15" s="18" t="n">
        <x:v>0.52</x:v>
      </x:c>
      <x:c r="K15" s="16" t="str">
        <x:f>IF(I15="","",I15*J15)</x:f>
      </x:c>
      <x:c r="L15" s="16" t="str">
        <x:f>IF(K15="","",K15/D15)</x:f>
      </x:c>
      <x:c r="M15" s="16" t="n">
        <x:v>12650</x:v>
      </x:c>
      <x:c r="N15" s="18" t="n">
        <x:v>0.5</x:v>
      </x:c>
      <x:c r="O15" s="16" t="n">
        <x:f>IF(M15="","",M15*N15)</x:f>
        <x:v>6325</x:v>
      </x:c>
      <x:c r="P15" s="16" t="n">
        <x:f>IF(O15="","",O15/D15)</x:f>
        <x:v>18.20689655172414</x:v>
      </x:c>
    </x:row>
    <x:row r="16">
      <x:c r="A16" t="str">
        <x:v>Cusco - Juliaca</x:v>
      </x:c>
      <x:c r="B16" s="14" t="n">
        <x:v>3145.2499999999995</x:v>
      </x:c>
      <x:c r="C16" s="14" t="n">
        <x:v>9.6</x:v>
      </x:c>
      <x:c r="D16" s="14" t="n">
        <x:f>B16/C16</x:f>
        <x:v>327.6302083333333</x:v>
      </x:c>
      <x:c r="E16" s="16" t="n">
        <x:v>14145</x:v>
      </x:c>
      <x:c r="F16" s="18" t="n">
        <x:v>0.7</x:v>
      </x:c>
      <x:c r="G16" s="16" t="n">
        <x:f>IF(E16="","",E16*F16)</x:f>
        <x:v>9901.5</x:v>
      </x:c>
      <x:c r="H16" s="16" t="n">
        <x:f>IF(G16="","",G16/D16)</x:f>
        <x:v>30.221572212065816</x:v>
      </x:c>
      <x:c r="I16" s="16" t="n">
        <x:v>14145</x:v>
      </x:c>
      <x:c r="J16" s="18" t="n">
        <x:v>0.52</x:v>
      </x:c>
      <x:c r="K16" s="16" t="n">
        <x:f>IF(I16="","",I16*J16)</x:f>
        <x:v>7355.400000000001</x:v>
      </x:c>
      <x:c r="L16" s="16" t="n">
        <x:f>IF(K16="","",K16/D16)</x:f>
        <x:v>22.450310786106037</x:v>
      </x:c>
      <x:c r="M16" s="16" t="n">
        <x:v>11500</x:v>
      </x:c>
      <x:c r="N16" s="18" t="n">
        <x:v>0.5</x:v>
      </x:c>
      <x:c r="O16" s="16" t="n">
        <x:f>IF(M16="","",M16*N16)</x:f>
        <x:v>5750</x:v>
      </x:c>
      <x:c r="P16" s="16" t="n">
        <x:f>IF(O16="","",O16/D16)</x:f>
        <x:v>17.550274223034737</x:v>
      </x:c>
    </x:row>
    <x:row r="17">
      <x:c r="A17" t="str">
        <x:v>Huancayo</x:v>
      </x:c>
      <x:c r="B17" s="14" t="n">
        <x:v>2070</x:v>
      </x:c>
      <x:c r="C17" s="14" t="n">
        <x:v>9.6</x:v>
      </x:c>
      <x:c r="D17" s="14" t="n">
        <x:f>B17/C17</x:f>
        <x:v>215.625</x:v>
      </x:c>
      <x:c r="E17" s="16" t="n">
        <x:v>3567</x:v>
      </x:c>
      <x:c r="F17" s="18" t="n">
        <x:v>0.55</x:v>
      </x:c>
      <x:c r="G17" s="16" t="n">
        <x:f>IF(E17="","",E17*F17)</x:f>
        <x:v>1961.8500000000001</x:v>
      </x:c>
      <x:c r="H17" s="16" t="n">
        <x:f>IF(G17="","",G17/D17)</x:f>
        <x:v>9.098434782608697</x:v>
      </x:c>
      <x:c r="I17" s="16"/>
      <x:c r="J17" s="18" t="n">
        <x:v>0.52</x:v>
      </x:c>
      <x:c r="K17" s="16" t="str">
        <x:f>IF(I17="","",I17*J17)</x:f>
      </x:c>
      <x:c r="L17" s="16" t="str">
        <x:f>IF(K17="","",K17/D17)</x:f>
      </x:c>
      <x:c r="M17" s="16"/>
      <x:c r="N17" s="18" t="n">
        <x:v>0.5</x:v>
      </x:c>
      <x:c r="O17" s="16" t="str">
        <x:f>IF(M17="","",M17*N17)</x:f>
      </x:c>
      <x:c r="P17" s="16" t="str">
        <x:f>IF(O17="","",O17/D17)</x:f>
      </x:c>
    </x:row>
    <x:row r="18">
      <x:c r="A18" t="str">
        <x:v>Huancayo - Huancavelica - Ayacucho</x:v>
      </x:c>
      <x:c r="B18" s="14" t="n">
        <x:v>1449</x:v>
      </x:c>
      <x:c r="C18" s="14" t="n">
        <x:v>9.6</x:v>
      </x:c>
      <x:c r="D18" s="14" t="n">
        <x:f>B18/C18</x:f>
        <x:v>150.9375</x:v>
      </x:c>
      <x:c r="E18" s="16" t="n">
        <x:v>8486.15</x:v>
      </x:c>
      <x:c r="F18" s="18" t="n">
        <x:v>0.55</x:v>
      </x:c>
      <x:c r="G18" s="16" t="n">
        <x:f>IF(E18="","",E18*F18)</x:f>
        <x:v>4667.382500000001</x:v>
      </x:c>
      <x:c r="H18" s="16" t="n">
        <x:f>IF(G18="","",G18/D18)</x:f>
        <x:v>30.922616977225676</x:v>
      </x:c>
      <x:c r="I18" s="16"/>
      <x:c r="J18" s="18" t="n">
        <x:v>0.52</x:v>
      </x:c>
      <x:c r="K18" s="16" t="str">
        <x:f>IF(I18="","",I18*J18)</x:f>
      </x:c>
      <x:c r="L18" s="16" t="str">
        <x:f>IF(K18="","",K18/D18)</x:f>
      </x:c>
      <x:c r="M18" s="16" t="n">
        <x:v>7499.25</x:v>
      </x:c>
      <x:c r="N18" s="18" t="n">
        <x:v>0.5</x:v>
      </x:c>
      <x:c r="O18" s="16" t="n">
        <x:f>IF(M18="","",M18*N18)</x:f>
        <x:v>3749.625</x:v>
      </x:c>
      <x:c r="P18" s="16" t="n">
        <x:f>IF(O18="","",O18/D18)</x:f>
        <x:v>24.84223602484472</x:v>
      </x:c>
    </x:row>
    <x:row r="19">
      <x:c r="A19" t="str">
        <x:v>Huanuco - Pucallpa</x:v>
      </x:c>
      <x:c r="B19" s="14" t="n">
        <x:v>1897.4999999999998</x:v>
      </x:c>
      <x:c r="C19" s="14" t="n">
        <x:v>9.6</x:v>
      </x:c>
      <x:c r="D19" s="14" t="n">
        <x:f>B19/C19</x:f>
        <x:v>197.65624999999997</x:v>
      </x:c>
      <x:c r="E19" s="16" t="n">
        <x:v>9717</x:v>
      </x:c>
      <x:c r="F19" s="18" t="n">
        <x:v>0.5</x:v>
      </x:c>
      <x:c r="G19" s="16" t="n">
        <x:f>IF(E19="","",E19*F19)</x:f>
        <x:v>4858.5</x:v>
      </x:c>
      <x:c r="H19" s="16" t="n">
        <x:f>IF(G19="","",G19/D19)</x:f>
        <x:v>24.580553359683798</x:v>
      </x:c>
      <x:c r="I19" s="16"/>
      <x:c r="J19" s="18" t="n">
        <x:v>0.52</x:v>
      </x:c>
      <x:c r="K19" s="16" t="str">
        <x:f>IF(I19="","",I19*J19)</x:f>
      </x:c>
      <x:c r="L19" s="16" t="str">
        <x:f>IF(K19="","",K19/D19)</x:f>
      </x:c>
      <x:c r="M19" s="16" t="n">
        <x:v>8700</x:v>
      </x:c>
      <x:c r="N19" s="18" t="n">
        <x:v>0.5</x:v>
      </x:c>
      <x:c r="O19" s="16" t="n">
        <x:f>IF(M19="","",M19*N19)</x:f>
        <x:v>4350</x:v>
      </x:c>
      <x:c r="P19" s="16" t="n">
        <x:f>IF(O19="","",O19/D19)</x:f>
        <x:v>22.007905138339925</x:v>
      </x:c>
    </x:row>
    <x:row r="20">
      <x:c r="A20" t="str">
        <x:v>Huanuco - Tingo Maria</x:v>
      </x:c>
      <x:c r="B20" s="14" t="n">
        <x:v>1230.5</x:v>
      </x:c>
      <x:c r="C20" s="14" t="n">
        <x:v>9.6</x:v>
      </x:c>
      <x:c r="D20" s="14" t="n">
        <x:f>B20/C20</x:f>
        <x:v>128.17708333333334</x:v>
      </x:c>
      <x:c r="E20" s="16" t="n">
        <x:v>7100</x:v>
      </x:c>
      <x:c r="F20" s="18" t="n">
        <x:v>0.5</x:v>
      </x:c>
      <x:c r="G20" s="16" t="n">
        <x:f>IF(E20="","",E20*F20)</x:f>
        <x:v>3550</x:v>
      </x:c>
      <x:c r="H20" s="16" t="n">
        <x:f>IF(G20="","",G20/D20)</x:f>
        <x:v>27.696058512799674</x:v>
      </x:c>
      <x:c r="I20" s="16"/>
      <x:c r="J20" s="18" t="n">
        <x:v>0.52</x:v>
      </x:c>
      <x:c r="K20" s="16" t="str">
        <x:f>IF(I20="","",I20*J20)</x:f>
      </x:c>
      <x:c r="L20" s="16" t="str">
        <x:f>IF(K20="","",K20/D20)</x:f>
      </x:c>
      <x:c r="M20" s="16"/>
      <x:c r="N20" s="18" t="n">
        <x:v>0.5</x:v>
      </x:c>
      <x:c r="O20" s="16" t="str">
        <x:f>IF(M20="","",M20*N20)</x:f>
      </x:c>
      <x:c r="P20" s="16" t="str">
        <x:f>IF(O20="","",O20/D20)</x:f>
      </x:c>
    </x:row>
    <x:row r="21">
      <x:c r="A21" t="str">
        <x:v>Huanuco - Tingo Maria - Chanchamayo - Satipo</x:v>
      </x:c>
      <x:c r="B21" s="14" t="n">
        <x:v>1690.4999999999998</x:v>
      </x:c>
      <x:c r="C21" s="14" t="n">
        <x:v>9.6</x:v>
      </x:c>
      <x:c r="D21" s="14" t="n">
        <x:f>B21/C21</x:f>
        <x:v>176.09374999999997</x:v>
      </x:c>
      <x:c r="E21" s="16" t="n">
        <x:v>7995.8</x:v>
      </x:c>
      <x:c r="F21" s="18" t="n">
        <x:v>0.5</x:v>
      </x:c>
      <x:c r="G21" s="16" t="n">
        <x:f>IF(E21="","",E21*F21)</x:f>
        <x:v>3997.9</x:v>
      </x:c>
      <x:c r="H21" s="16" t="n">
        <x:f>IF(G21="","",G21/D21)</x:f>
        <x:v>22.703247559893526</x:v>
      </x:c>
      <x:c r="I21" s="16" t="n">
        <x:v>7995.8</x:v>
      </x:c>
      <x:c r="J21" s="18" t="n">
        <x:v>0.52</x:v>
      </x:c>
      <x:c r="K21" s="16" t="n">
        <x:f>IF(I21="","",I21*J21)</x:f>
        <x:v>4157.816</x:v>
      </x:c>
      <x:c r="L21" s="16" t="n">
        <x:f>IF(K21="","",K21/D21)</x:f>
        <x:v>23.611377462289266</x:v>
      </x:c>
      <x:c r="M21" s="16" t="n">
        <x:v>8000.8</x:v>
      </x:c>
      <x:c r="N21" s="18" t="n">
        <x:v>0.5</x:v>
      </x:c>
      <x:c r="O21" s="16" t="n">
        <x:f>IF(M21="","",M21*N21)</x:f>
        <x:v>4000.4</x:v>
      </x:c>
      <x:c r="P21" s="16" t="n">
        <x:f>IF(O21="","",O21/D21)</x:f>
        <x:v>22.71744454303461</x:v>
      </x:c>
    </x:row>
    <x:row r="22">
      <x:c r="A22" t="str">
        <x:v>Huanuco - Tingo Maria - Pucallpa</x:v>
      </x:c>
      <x:c r="B22" s="14" t="n">
        <x:v>1897.4999999999998</x:v>
      </x:c>
      <x:c r="C22" s="14" t="n">
        <x:v>9.6</x:v>
      </x:c>
      <x:c r="D22" s="14" t="n">
        <x:f>B22/C22</x:f>
        <x:v>197.65624999999997</x:v>
      </x:c>
      <x:c r="E22" s="16" t="n">
        <x:v>9716.03</x:v>
      </x:c>
      <x:c r="F22" s="18" t="n">
        <x:v>0.5</x:v>
      </x:c>
      <x:c r="G22" s="16" t="n">
        <x:f>IF(E22="","",E22*F22)</x:f>
        <x:v>4858.015</x:v>
      </x:c>
      <x:c r="H22" s="16" t="n">
        <x:f>IF(G22="","",G22/D22)</x:f>
        <x:v>24.578099604743088</x:v>
      </x:c>
      <x:c r="I22" s="16" t="n">
        <x:v>9199.08</x:v>
      </x:c>
      <x:c r="J22" s="18" t="n">
        <x:v>0.52</x:v>
      </x:c>
      <x:c r="K22" s="16" t="n">
        <x:f>IF(I22="","",I22*J22)</x:f>
        <x:v>4783.5216</x:v>
      </x:c>
      <x:c r="L22" s="16" t="n">
        <x:f>IF(K22="","",K22/D22)</x:f>
        <x:v>24.201216000000002</x:v>
      </x:c>
      <x:c r="M22" s="16" t="n">
        <x:v>8699.13</x:v>
      </x:c>
      <x:c r="N22" s="18" t="n">
        <x:v>0.5</x:v>
      </x:c>
      <x:c r="O22" s="16" t="n">
        <x:f>IF(M22="","",M22*N22)</x:f>
        <x:v>4349.565</x:v>
      </x:c>
      <x:c r="P22" s="16" t="n">
        <x:f>IF(O22="","",O22/D22)</x:f>
        <x:v>22.00570434782609</x:v>
      </x:c>
    </x:row>
    <x:row r="23">
      <x:c r="A23" t="str">
        <x:v>Motupe</x:v>
      </x:c>
      <x:c r="B23" s="14" t="n">
        <x:v>1966.4999999999998</x:v>
      </x:c>
      <x:c r="C23" s="14" t="n">
        <x:v>9.6</x:v>
      </x:c>
      <x:c r="D23" s="14" t="n">
        <x:f>B23/C23</x:f>
        <x:v>204.84374999999997</x:v>
      </x:c>
      <x:c r="E23" s="16" t="n">
        <x:v>8388.9</x:v>
      </x:c>
      <x:c r="F23" s="18" t="n">
        <x:v>0.6</x:v>
      </x:c>
      <x:c r="G23" s="16" t="n">
        <x:f>IF(E23="","",E23*F23)</x:f>
        <x:v>5033.339999999999</x:v>
      </x:c>
      <x:c r="H23" s="16" t="n">
        <x:f>IF(G23="","",G23/D23)</x:f>
        <x:v>24.571606407322655</x:v>
      </x:c>
      <x:c r="I23" s="16"/>
      <x:c r="J23" s="18" t="n">
        <x:v>0.52</x:v>
      </x:c>
      <x:c r="K23" s="16" t="str">
        <x:f>IF(I23="","",I23*J23)</x:f>
      </x:c>
      <x:c r="L23" s="16" t="str">
        <x:f>IF(K23="","",K23/D23)</x:f>
      </x:c>
      <x:c r="M23" s="16" t="n">
        <x:v>9300</x:v>
      </x:c>
      <x:c r="N23" s="18" t="n">
        <x:v>0.5</x:v>
      </x:c>
      <x:c r="O23" s="16" t="n">
        <x:f>IF(M23="","",M23*N23)</x:f>
        <x:v>4650</x:v>
      </x:c>
      <x:c r="P23" s="16" t="n">
        <x:f>IF(O23="","",O23/D23)</x:f>
        <x:v>22.700228832951947</x:v>
      </x:c>
    </x:row>
    <x:row r="24">
      <x:c r="A24" t="str">
        <x:v>Piura</x:v>
      </x:c>
      <x:c r="B24" s="14" t="n">
        <x:v>2231</x:v>
      </x:c>
      <x:c r="C24" s="14" t="n">
        <x:v>9.6</x:v>
      </x:c>
      <x:c r="D24" s="14" t="n">
        <x:f>B24/C24</x:f>
        <x:v>232.39583333333334</x:v>
      </x:c>
      <x:c r="E24" s="16" t="n">
        <x:v>9975.3</x:v>
      </x:c>
      <x:c r="F24" s="18" t="n">
        <x:v>0.55</x:v>
      </x:c>
      <x:c r="G24" s="16" t="n">
        <x:f>IF(E24="","",E24*F24)</x:f>
        <x:v>5486.415</x:v>
      </x:c>
      <x:c r="H24" s="16" t="n">
        <x:f>IF(G24="","",G24/D24)</x:f>
        <x:v>23.608060959211116</x:v>
      </x:c>
      <x:c r="I24" s="16" t="n">
        <x:v>10784</x:v>
      </x:c>
      <x:c r="J24" s="18" t="n">
        <x:v>0.52</x:v>
      </x:c>
      <x:c r="K24" s="16" t="n">
        <x:f>IF(I24="","",I24*J24)</x:f>
        <x:v>5607.68</x:v>
      </x:c>
      <x:c r="L24" s="16" t="n">
        <x:f>IF(K24="","",K24/D24)</x:f>
        <x:v>24.129864634692964</x:v>
      </x:c>
      <x:c r="M24" s="16" t="n">
        <x:v>10000</x:v>
      </x:c>
      <x:c r="N24" s="18" t="n">
        <x:v>0.5</x:v>
      </x:c>
      <x:c r="O24" s="16" t="n">
        <x:f>IF(M24="","",M24*N24)</x:f>
        <x:v>5000</x:v>
      </x:c>
      <x:c r="P24" s="16" t="n">
        <x:f>IF(O24="","",O24/D24)</x:f>
        <x:v>21.51501568803227</x:v>
      </x:c>
    </x:row>
    <x:row r="25">
      <x:c r="A25" t="str">
        <x:v>Pucallpa</x:v>
      </x:c>
      <x:c r="B25" s="14" t="n">
        <x:v>1747.9999999999998</x:v>
      </x:c>
      <x:c r="C25" s="14" t="n">
        <x:v>9.6</x:v>
      </x:c>
      <x:c r="D25" s="14" t="n">
        <x:f>B25/C25</x:f>
        <x:v>182.08333333333331</x:v>
      </x:c>
      <x:c r="E25" s="16" t="n">
        <x:v>9717</x:v>
      </x:c>
      <x:c r="F25" s="18" t="n">
        <x:v>0.5</x:v>
      </x:c>
      <x:c r="G25" s="16" t="n">
        <x:f>IF(E25="","",E25*F25)</x:f>
        <x:v>4858.5</x:v>
      </x:c>
      <x:c r="H25" s="16" t="n">
        <x:f>IF(G25="","",G25/D25)</x:f>
        <x:v>26.68283752860412</x:v>
      </x:c>
      <x:c r="I25" s="16" t="n">
        <x:v>9400</x:v>
      </x:c>
      <x:c r="J25" s="18" t="n">
        <x:v>0.52</x:v>
      </x:c>
      <x:c r="K25" s="16" t="n">
        <x:f>IF(I25="","",I25*J25)</x:f>
        <x:v>4888</x:v>
      </x:c>
      <x:c r="L25" s="16" t="n">
        <x:f>IF(K25="","",K25/D25)</x:f>
        <x:v>26.84485125858124</x:v>
      </x:c>
      <x:c r="M25" s="16" t="n">
        <x:v>8700</x:v>
      </x:c>
      <x:c r="N25" s="18" t="n">
        <x:v>0.5</x:v>
      </x:c>
      <x:c r="O25" s="16" t="n">
        <x:f>IF(M25="","",M25*N25)</x:f>
        <x:v>4350</x:v>
      </x:c>
      <x:c r="P25" s="16" t="n">
        <x:f>IF(O25="","",O25/D25)</x:f>
        <x:v>23.890160183066364</x:v>
      </x:c>
    </x:row>
    <x:row r="26">
      <x:c r="A26" t="str">
        <x:v>Trujillo</x:v>
      </x:c>
      <x:c r="B26" s="14" t="n">
        <x:v>1288</x:v>
      </x:c>
      <x:c r="C26" s="14" t="n">
        <x:v>9.6</x:v>
      </x:c>
      <x:c r="D26" s="14" t="n">
        <x:f>B26/C26</x:f>
        <x:v>134.16666666666669</x:v>
      </x:c>
      <x:c r="E26" s="16" t="n">
        <x:v>5250</x:v>
      </x:c>
      <x:c r="F26" s="18" t="n">
        <x:v>0.7</x:v>
      </x:c>
      <x:c r="G26" s="16" t="n">
        <x:f>IF(E26="","",E26*F26)</x:f>
        <x:v>3674.9999999999995</x:v>
      </x:c>
      <x:c r="H26" s="16" t="n">
        <x:f>IF(G26="","",G26/D26)</x:f>
        <x:v>27.39130434782608</x:v>
      </x:c>
      <x:c r="I26" s="16" t="n">
        <x:v>7000</x:v>
      </x:c>
      <x:c r="J26" s="18" t="n">
        <x:v>0.52</x:v>
      </x:c>
      <x:c r="K26" s="16" t="n">
        <x:f>IF(I26="","",I26*J26)</x:f>
        <x:v>3640</x:v>
      </x:c>
      <x:c r="L26" s="16" t="n">
        <x:f>IF(K26="","",K26/D26)</x:f>
        <x:v>27.130434782608692</x:v>
      </x:c>
      <x:c r="M26" s="16" t="n">
        <x:v>4350</x:v>
      </x:c>
      <x:c r="N26" s="18" t="n">
        <x:v>0.5</x:v>
      </x:c>
      <x:c r="O26" s="16" t="n">
        <x:f>IF(M26="","",M26*N26)</x:f>
        <x:v>2175</x:v>
      </x:c>
      <x:c r="P26" s="16" t="n">
        <x:f>IF(O26="","",O26/D26)</x:f>
        <x:v>16.2111801242236</x:v>
      </x:c>
    </x:row>
    <x:row r="27">
      <x:c r="A27" t="str">
        <x:v>Trujillo - Cajamarca</x:v>
      </x:c>
      <x:c r="B27" s="14" t="n">
        <x:v>2035.4999999999998</x:v>
      </x:c>
      <x:c r="C27" s="14" t="n">
        <x:v>9.6</x:v>
      </x:c>
      <x:c r="D27" s="14" t="n">
        <x:f>B27/C27</x:f>
        <x:v>212.03124999999997</x:v>
      </x:c>
      <x:c r="E27" s="16"/>
      <x:c r="F27" s="18" t="n">
        <x:v>0.7</x:v>
      </x:c>
      <x:c r="G27" s="16" t="str">
        <x:f>IF(E27="","",E27*F27)</x:f>
      </x:c>
      <x:c r="H27" s="16" t="str">
        <x:f>IF(G27="","",G27/D27)</x:f>
      </x:c>
      <x:c r="I27" s="16"/>
      <x:c r="J27" s="18" t="n">
        <x:v>0.52</x:v>
      </x:c>
      <x:c r="K27" s="16" t="str">
        <x:f>IF(I27="","",I27*J27)</x:f>
      </x:c>
      <x:c r="L27" s="16" t="str">
        <x:f>IF(K27="","",K27/D27)</x:f>
      </x:c>
      <x:c r="M27" s="16" t="n">
        <x:v>7500</x:v>
      </x:c>
      <x:c r="N27" s="18" t="n">
        <x:v>0.5</x:v>
      </x:c>
      <x:c r="O27" s="16" t="n">
        <x:f>IF(M27="","",M27*N27)</x:f>
        <x:v>3750</x:v>
      </x:c>
      <x:c r="P27" s="16" t="n">
        <x:f>IF(O27="","",O27/D27)</x:f>
        <x:v>17.686072218128228</x:v>
      </x:c>
    </x:row>
    <x:row r="28">
      <x:c r="A28" t="str">
        <x:v>Trujillo - Chiclayo</x:v>
      </x:c>
      <x:c r="B28" s="14" t="n">
        <x:v>1839.9999999999998</x:v>
      </x:c>
      <x:c r="C28" s="14" t="n">
        <x:v>9.6</x:v>
      </x:c>
      <x:c r="D28" s="14" t="n">
        <x:f>B28/C28</x:f>
        <x:v>191.66666666666666</x:v>
      </x:c>
      <x:c r="E28" s="16" t="n">
        <x:v>5250</x:v>
      </x:c>
      <x:c r="F28" s="18" t="n">
        <x:v>0.7</x:v>
      </x:c>
      <x:c r="G28" s="16" t="n">
        <x:f>IF(E28="","",E28*F28)</x:f>
        <x:v>3674.9999999999995</x:v>
      </x:c>
      <x:c r="H28" s="16" t="n">
        <x:f>IF(G28="","",G28/D28)</x:f>
        <x:v>19.173913043478258</x:v>
      </x:c>
      <x:c r="I28" s="16"/>
      <x:c r="J28" s="18" t="n">
        <x:v>0.52</x:v>
      </x:c>
      <x:c r="K28" s="16" t="str">
        <x:f>IF(I28="","",I28*J28)</x:f>
      </x:c>
      <x:c r="L28" s="16" t="str">
        <x:f>IF(K28="","",K28/D28)</x:f>
      </x:c>
      <x:c r="M28" s="16" t="n">
        <x:v>6200</x:v>
      </x:c>
      <x:c r="N28" s="18" t="n">
        <x:v>0.5</x:v>
      </x:c>
      <x:c r="O28" s="16" t="n">
        <x:f>IF(M28="","",M28*N28)</x:f>
        <x:v>3100</x:v>
      </x:c>
      <x:c r="P28" s="16" t="n">
        <x:f>IF(O28="","",O28/D28)</x:f>
        <x:v>16.17391304347826</x:v>
      </x:c>
    </x:row>
    <x:row r="29">
      <x:c r="A29" t="str">
        <x:v>Trujillo - Piura</x:v>
      </x:c>
      <x:c r="B29" s="14" t="n">
        <x:v>2231</x:v>
      </x:c>
      <x:c r="C29" s="14" t="n">
        <x:v>9.6</x:v>
      </x:c>
      <x:c r="D29" s="14" t="n">
        <x:f>B29/C29</x:f>
        <x:v>232.39583333333334</x:v>
      </x:c>
      <x:c r="E29" s="16" t="n">
        <x:v>10500</x:v>
      </x:c>
      <x:c r="F29" s="18" t="n">
        <x:v>0.7</x:v>
      </x:c>
      <x:c r="G29" s="16" t="n">
        <x:f>IF(E29="","",E29*F29)</x:f>
        <x:v>7349.999999999999</x:v>
      </x:c>
      <x:c r="H29" s="16" t="n">
        <x:f>IF(G29="","",G29/D29)</x:f>
        <x:v>31.627073061407437</x:v>
      </x:c>
      <x:c r="I29" s="16" t="n">
        <x:v>9800</x:v>
      </x:c>
      <x:c r="J29" s="18" t="n">
        <x:v>0.52</x:v>
      </x:c>
      <x:c r="K29" s="16" t="n">
        <x:f>IF(I29="","",I29*J29)</x:f>
        <x:v>5096</x:v>
      </x:c>
      <x:c r="L29" s="16" t="n">
        <x:f>IF(K29="","",K29/D29)</x:f>
        <x:v>21.92810398924249</x:v>
      </x:c>
      <x:c r="M29" s="16" t="n">
        <x:v>10000</x:v>
      </x:c>
      <x:c r="N29" s="18" t="n">
        <x:v>0.5</x:v>
      </x:c>
      <x:c r="O29" s="16" t="n">
        <x:f>IF(M29="","",M29*N29)</x:f>
        <x:v>5000</x:v>
      </x:c>
      <x:c r="P29" s="16" t="n">
        <x:f>IF(O29="","",O29/D29)</x:f>
        <x:v>21.51501568803227</x:v>
      </x:c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</x:cols>
  <x:sheetData>
    <x:row r="1">
      <x:c r="A1" s="4" t="str">
        <x:v>Supuesto</x:v>
      </x:c>
      <x:c r="B1" s="4" t="str">
        <x:v>Valor</x:v>
      </x:c>
    </x:row>
    <x:row r="2">
      <x:c r="A2" t="str">
        <x:v>Rendimiento</x:v>
      </x:c>
      <x:c r="B2" t="n">
        <x:v>9.6</x:v>
      </x:c>
    </x:row>
    <x:row r="3">
      <x:c r="A3" t="str">
        <x:v>Unidad</x:v>
      </x:c>
      <x:c r="B3" t="str">
        <x:v>km/galón</x:v>
      </x:c>
    </x:row>
    <x:row r="4">
      <x:c r="A4" t="str">
        <x:v>Vuelta</x:v>
      </x:c>
      <x:c r="B4" t="n">
        <x:v>2</x:v>
      </x:c>
    </x:row>
    <x:row r="5">
      <x:c r="A5" t="str">
        <x:v>Factor operativo</x:v>
      </x:c>
      <x:c r="B5" t="n">
        <x:v>1.15</x:v>
      </x:c>
    </x:row>
    <x:row r="6">
      <x:c r="A6" t="str">
        <x:v>HECARO</x:v>
      </x:c>
      <x:c r="B6" t="str">
        <x:v>50%-70% variable</x:v>
      </x:c>
    </x:row>
    <x:row r="7">
      <x:c r="A7" t="str">
        <x:v>LMG</x:v>
      </x:c>
      <x:c r="B7" s="18" t="n">
        <x:v>0.52</x:v>
      </x:c>
    </x:row>
    <x:row r="8">
      <x:c r="A8" t="str">
        <x:v>QOLPARO</x:v>
      </x:c>
      <x:c r="B8" s="18" t="n">
        <x:v>0.5</x:v>
      </x:c>
    </x:row>
    <x:row r="9">
      <x:c r="A9" t="str">
        <x:v>Ruta presente</x:v>
      </x:c>
      <x:c r="B9" t="str">
        <x:v>Km ida del recorrido × 2 × 1.15</x:v>
      </x:c>
    </x:row>
    <x:row r="10">
      <x:c r="A10" t="str">
        <x:v>Ruta ausente</x:v>
      </x:c>
      <x:c r="B10" t="str">
        <x:v>Km total anterior × 1.15</x:v>
      </x:c>
    </x:row>
  </x:sheetData>
  <x:pageMargins left="0.7" right="0.7" top="0.75" bottom="0.75" header="0.3" footer="0.3"/>
</x:worksheet>
</file>