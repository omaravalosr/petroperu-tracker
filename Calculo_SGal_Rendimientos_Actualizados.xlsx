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c077ceef5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M actualizados" sheetId="1" r:id="R88590fa0ad9a467b"/>
    <x:sheet xmlns:r="http://schemas.openxmlformats.org/officeDocument/2006/relationships" name="Ene-Mar 2026" sheetId="2" r:id="R19ec2ca204864270"/>
    <x:sheet xmlns:r="http://schemas.openxmlformats.org/officeDocument/2006/relationships" name="Actual Abr-26" sheetId="3" r:id="R2fd9fb50e0fe474c"/>
    <x:sheet xmlns:r="http://schemas.openxmlformats.org/officeDocument/2006/relationships" name="Supuestos" sheetId="4" r:id="Ra36bf26aa5ea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S/ #,##0.00"/>
    <x:numFmt numFmtId="203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5a69329814459" /><Relationship Type="http://schemas.openxmlformats.org/officeDocument/2006/relationships/theme" Target="/xl/theme/theme1.xml" Id="R4dbd0a7b5368456d" /><Relationship Type="http://schemas.openxmlformats.org/officeDocument/2006/relationships/sharedStrings" Target="/xl/sharedStrings.xml" Id="R19b39395eeef461c" /><Relationship Type="http://schemas.openxmlformats.org/officeDocument/2006/relationships/worksheet" Target="/xl/worksheets/sheet1.xml" Id="R88590fa0ad9a467b" /><Relationship Type="http://schemas.openxmlformats.org/officeDocument/2006/relationships/worksheet" Target="/xl/worksheets/sheet2.xml" Id="R19ec2ca204864270" /><Relationship Type="http://schemas.openxmlformats.org/officeDocument/2006/relationships/worksheet" Target="/xl/worksheets/sheet3.xml" Id="R2fd9fb50e0fe474c" /><Relationship Type="http://schemas.openxmlformats.org/officeDocument/2006/relationships/worksheet" Target="/xl/worksheets/sheet4.xml" Id="Ra36bf26aa5ea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75" hidden="0" customWidth="1"/>
  </x:cols>
  <x:sheetData>
    <x:row r="1">
      <x:c r="A1" s="4" t="str">
        <x:v>Ruta</x:v>
      </x:c>
      <x:c r="B1" s="4" t="str">
        <x:v>Km ida usado</x:v>
      </x:c>
      <x:c r="C1" s="4" t="str">
        <x:v>× Vuelta</x:v>
      </x:c>
      <x:c r="D1" s="4" t="str">
        <x:v>× Operativo</x:v>
      </x:c>
      <x:c r="E1" s="4" t="str">
        <x:v>Km final</x:v>
      </x:c>
      <x:c r="F1" s="4" t="str">
        <x:v>Fuente</x:v>
      </x:c>
      <x:c r="G1" s="4" t="str">
        <x:v>Tramos utilizados</x:v>
      </x:c>
    </x:row>
    <x:row r="2">
      <x:c r="A2" t="str">
        <x:v>Ancash - Chimbote</x:v>
      </x:c>
      <x:c r="B2" t="n">
        <x:v>635</x:v>
      </x:c>
      <x:c r="C2" t="n">
        <x:v>2</x:v>
      </x:c>
      <x:c r="D2" t="n">
        <x:v>1.15</x:v>
      </x:c>
      <x:c r="E2" t="n">
        <x:v>1460.5</x:v>
      </x:c>
      <x:c r="F2" t="str">
        <x:v>Nuevo archivo</x:v>
      </x:c>
      <x:c r="G2" t="str">
        <x:v>Hub Lurin → Ate (35 km) | Ate → Huaraz (400 km) | Huaraz → Chimbote (200 km)</x:v>
      </x:c>
    </x:row>
    <x:row r="3">
      <x:c r="A3" t="str">
        <x:v>Arequipa</x:v>
      </x:c>
      <x:c r="B3" t="n">
        <x:v>1020</x:v>
      </x:c>
      <x:c r="C3" t="n">
        <x:v>2</x:v>
      </x:c>
      <x:c r="D3" t="n">
        <x:v>1.15</x:v>
      </x:c>
      <x:c r="E3" t="n">
        <x:v>2346</x:v>
      </x:c>
      <x:c r="F3" t="str">
        <x:v>Nuevo archivo</x:v>
      </x:c>
      <x:c r="G3" t="str">
        <x:v>Hub Lurin → Arequipa (1020 km)</x:v>
      </x:c>
    </x:row>
    <x:row r="4">
      <x:c r="A4" t="str">
        <x:v>Arequipa - Cusco</x:v>
      </x:c>
      <x:c r="B4" t="n">
        <x:v>1530</x:v>
      </x:c>
      <x:c r="C4" t="n">
        <x:v>2</x:v>
      </x:c>
      <x:c r="D4" t="n">
        <x:v>1.15</x:v>
      </x:c>
      <x:c r="E4" t="n">
        <x:v>3518.9999999999995</x:v>
      </x:c>
      <x:c r="F4" t="str">
        <x:v>Nuevo archivo</x:v>
      </x:c>
      <x:c r="G4" t="str">
        <x:v>Hub Lurin → Arequipa (1020 km) | Arequipa → Cusco (510 km)</x:v>
      </x:c>
    </x:row>
    <x:row r="5">
      <x:c r="A5" t="str">
        <x:v>Arequipa - Juliaca</x:v>
      </x:c>
      <x:c r="B5" t="n">
        <x:v>2060</x:v>
      </x:c>
      <x:c r="C5" t="n">
        <x:v>2</x:v>
      </x:c>
      <x:c r="D5" t="n">
        <x:v>1.15</x:v>
      </x:c>
      <x:c r="E5" t="n">
        <x:v>4738</x:v>
      </x:c>
      <x:c r="F5" t="str">
        <x:v>Nuevo archivo</x:v>
      </x:c>
      <x:c r="G5" t="str">
        <x:v>Hub Lurin → Arequipa (1020 km) | Arequipa → Ilo (380 km) | Ilo → Tacna (150 km) | Tacna → Juliaca (510 km)</x:v>
      </x:c>
    </x:row>
    <x:row r="6">
      <x:c r="A6" t="str">
        <x:v>Arequipa - Juliaca - Cusco</x:v>
      </x:c>
      <x:c r="B6" t="n">
        <x:v>1357.5</x:v>
      </x:c>
      <x:c r="C6" t="n">
        <x:v>2</x:v>
      </x:c>
      <x:c r="D6" t="n">
        <x:v>1.15</x:v>
      </x:c>
      <x:c r="E6" t="n">
        <x:v>3122.2499999999995</x:v>
      </x:c>
      <x:c r="F6" t="str">
        <x:v>Fallback: km anterior × 1.15</x:v>
      </x:c>
      <x:c r="G6" t="str">
        <x:v>Ruta completa no disponible en un mismo recorrido del archivo</x:v>
      </x:c>
    </x:row>
    <x:row r="7">
      <x:c r="A7" t="str">
        <x:v>Ayacucho</x:v>
      </x:c>
      <x:c r="B7" t="n">
        <x:v>600</x:v>
      </x:c>
      <x:c r="C7" t="n">
        <x:v>2</x:v>
      </x:c>
      <x:c r="D7" t="n">
        <x:v>1.15</x:v>
      </x:c>
      <x:c r="E7" t="n">
        <x:v>1380</x:v>
      </x:c>
      <x:c r="F7" t="str">
        <x:v>Nuevo archivo</x:v>
      </x:c>
      <x:c r="G7" t="str">
        <x:v>Hub Lurin → Ate (35 km) | Ate → Ayacucho (565 km)</x:v>
      </x:c>
    </x:row>
    <x:row r="8">
      <x:c r="A8" t="str">
        <x:v>Ayacucho - Huancavelica - Huanuco</x:v>
      </x:c>
      <x:c r="B8" t="n">
        <x:v>850</x:v>
      </x:c>
      <x:c r="C8" t="n">
        <x:v>2</x:v>
      </x:c>
      <x:c r="D8" t="n">
        <x:v>1.15</x:v>
      </x:c>
      <x:c r="E8" t="n">
        <x:v>1954.9999999999998</x:v>
      </x:c>
      <x:c r="F8" t="str">
        <x:v>Fallback: km anterior × 1.15</x:v>
      </x:c>
      <x:c r="G8" t="str">
        <x:v>Ruta completa no disponible en un mismo recorrido del archivo</x:v>
      </x:c>
    </x:row>
    <x:row r="9">
      <x:c r="A9" t="str">
        <x:v>Cañete - Ica - Nazca</x:v>
      </x:c>
      <x:c r="B9" t="n">
        <x:v>419</x:v>
      </x:c>
      <x:c r="C9" t="n">
        <x:v>2</x:v>
      </x:c>
      <x:c r="D9" t="n">
        <x:v>1.15</x:v>
      </x:c>
      <x:c r="E9" t="n">
        <x:v>963.6999999999999</x:v>
      </x:c>
      <x:c r="F9" t="str">
        <x:v>Fallback: km anterior × 1.15</x:v>
      </x:c>
      <x:c r="G9" t="str">
        <x:v>Ruta completa no disponible en un mismo recorrido del archivo</x:v>
      </x:c>
    </x:row>
    <x:row r="10">
      <x:c r="A10" t="str">
        <x:v>Chiclayo</x:v>
      </x:c>
      <x:c r="B10" t="n">
        <x:v>775</x:v>
      </x:c>
      <x:c r="C10" t="n">
        <x:v>2</x:v>
      </x:c>
      <x:c r="D10" t="n">
        <x:v>1.15</x:v>
      </x:c>
      <x:c r="E10" t="n">
        <x:v>1782.4999999999998</x:v>
      </x:c>
      <x:c r="F10" t="str">
        <x:v>Nuevo archivo</x:v>
      </x:c>
      <x:c r="G10" t="str">
        <x:v>Hub Lurin → Chiclayo (775 km)</x:v>
      </x:c>
    </x:row>
    <x:row r="11">
      <x:c r="A11" t="str">
        <x:v>Chiclayo - Motupe - Cajamarca</x:v>
      </x:c>
      <x:c r="B11" t="n">
        <x:v>980</x:v>
      </x:c>
      <x:c r="C11" t="n">
        <x:v>2</x:v>
      </x:c>
      <x:c r="D11" t="n">
        <x:v>1.15</x:v>
      </x:c>
      <x:c r="E11" t="n">
        <x:v>2254</x:v>
      </x:c>
      <x:c r="F11" t="str">
        <x:v>Nuevo archivo</x:v>
      </x:c>
      <x:c r="G11" t="str">
        <x:v>Hub Lurin → Chiclayo (775 km) | Chiclayo → Motupe (80 km) | Motupe → Cajamarca (125 km)</x:v>
      </x:c>
    </x:row>
    <x:row r="12">
      <x:c r="A12" t="str">
        <x:v>Chiclayo - Piura</x:v>
      </x:c>
      <x:c r="B12" t="n">
        <x:v>1007.5</x:v>
      </x:c>
      <x:c r="C12" t="n">
        <x:v>2</x:v>
      </x:c>
      <x:c r="D12" t="n">
        <x:v>1.15</x:v>
      </x:c>
      <x:c r="E12" t="n">
        <x:v>2317.25</x:v>
      </x:c>
      <x:c r="F12" t="str">
        <x:v>Fallback: km anterior × 1.15</x:v>
      </x:c>
      <x:c r="G12" t="str">
        <x:v>Ruta completa no disponible en un mismo recorrido del archivo</x:v>
      </x:c>
    </x:row>
    <x:row r="13">
      <x:c r="A13" t="str">
        <x:v>Chiclayo - Trujillo</x:v>
      </x:c>
      <x:c r="B13" t="n">
        <x:v>800</x:v>
      </x:c>
      <x:c r="C13" t="n">
        <x:v>2</x:v>
      </x:c>
      <x:c r="D13" t="n">
        <x:v>1.15</x:v>
      </x:c>
      <x:c r="E13" t="n">
        <x:v>1839.9999999999998</x:v>
      </x:c>
      <x:c r="F13" t="str">
        <x:v>Fallback: km anterior × 1.15</x:v>
      </x:c>
      <x:c r="G13" t="str">
        <x:v>Ruta completa no disponible en un mismo recorrido del archivo</x:v>
      </x:c>
    </x:row>
    <x:row r="14">
      <x:c r="A14" t="str">
        <x:v>Chiclayo - Motupe</x:v>
      </x:c>
      <x:c r="B14" t="n">
        <x:v>855</x:v>
      </x:c>
      <x:c r="C14" t="n">
        <x:v>2</x:v>
      </x:c>
      <x:c r="D14" t="n">
        <x:v>1.15</x:v>
      </x:c>
      <x:c r="E14" t="n">
        <x:v>1966.4999999999998</x:v>
      </x:c>
      <x:c r="F14" t="str">
        <x:v>Nuevo archivo</x:v>
      </x:c>
      <x:c r="G14" t="str">
        <x:v>Hub Lurin → Chiclayo (775 km) | Chiclayo → Motupe (80 km)</x:v>
      </x:c>
    </x:row>
    <x:row r="15">
      <x:c r="A15" t="str">
        <x:v>Cusco</x:v>
      </x:c>
      <x:c r="B15" t="n">
        <x:v>1450</x:v>
      </x:c>
      <x:c r="C15" t="n">
        <x:v>2</x:v>
      </x:c>
      <x:c r="D15" t="n">
        <x:v>1.15</x:v>
      </x:c>
      <x:c r="E15" t="n">
        <x:v>3334.9999999999995</x:v>
      </x:c>
      <x:c r="F15" t="str">
        <x:v>Nuevo archivo</x:v>
      </x:c>
      <x:c r="G15" t="str">
        <x:v>Hub Lurin → Cusco (1450 km)</x:v>
      </x:c>
    </x:row>
    <x:row r="16">
      <x:c r="A16" t="str">
        <x:v>Cusco - Juliaca</x:v>
      </x:c>
      <x:c r="B16" t="n">
        <x:v>1367.5</x:v>
      </x:c>
      <x:c r="C16" t="n">
        <x:v>2</x:v>
      </x:c>
      <x:c r="D16" t="n">
        <x:v>1.15</x:v>
      </x:c>
      <x:c r="E16" t="n">
        <x:v>3145.2499999999995</x:v>
      </x:c>
      <x:c r="F16" t="str">
        <x:v>Fallback: km anterior × 1.15</x:v>
      </x:c>
      <x:c r="G16" t="str">
        <x:v>Ruta completa no disponible en un mismo recorrido del archivo</x:v>
      </x:c>
    </x:row>
    <x:row r="17">
      <x:c r="A17" t="str">
        <x:v>Huancayo</x:v>
      </x:c>
      <x:c r="B17" t="n">
        <x:v>900</x:v>
      </x:c>
      <x:c r="C17" t="n">
        <x:v>2</x:v>
      </x:c>
      <x:c r="D17" t="n">
        <x:v>1.15</x:v>
      </x:c>
      <x:c r="E17" t="n">
        <x:v>2070</x:v>
      </x:c>
      <x:c r="F17" t="str">
        <x:v>Nuevo archivo</x:v>
      </x:c>
      <x:c r="G17" t="str">
        <x:v>Hub Lurin → Ate (35 km) | Ate → Ayacucho (565 km) | Ayacucho → Huancayo (300 km)</x:v>
      </x:c>
    </x:row>
    <x:row r="18">
      <x:c r="A18" t="str">
        <x:v>Huancayo - Huancavelica - Ayacucho</x:v>
      </x:c>
      <x:c r="B18" t="n">
        <x:v>630</x:v>
      </x:c>
      <x:c r="C18" t="n">
        <x:v>2</x:v>
      </x:c>
      <x:c r="D18" t="n">
        <x:v>1.15</x:v>
      </x:c>
      <x:c r="E18" t="n">
        <x:v>1449</x:v>
      </x:c>
      <x:c r="F18" t="str">
        <x:v>Fallback: km anterior × 1.15</x:v>
      </x:c>
      <x:c r="G18" t="str">
        <x:v>Ruta completa no disponible en un mismo recorrido del archivo</x:v>
      </x:c>
    </x:row>
    <x:row r="19">
      <x:c r="A19" t="str">
        <x:v>Huanuco - Pucallpa</x:v>
      </x:c>
      <x:c r="B19" t="n">
        <x:v>825</x:v>
      </x:c>
      <x:c r="C19" t="n">
        <x:v>2</x:v>
      </x:c>
      <x:c r="D19" t="n">
        <x:v>1.15</x:v>
      </x:c>
      <x:c r="E19" t="n">
        <x:v>1897.4999999999998</x:v>
      </x:c>
      <x:c r="F19" t="str">
        <x:v>Nuevo archivo</x:v>
      </x:c>
      <x:c r="G19" t="str">
        <x:v>Hub Lurin → Huanuco (410 km) | Huanuco → Tingo Maria (125 km) | Tingo Maria → Pucallpa (290 km)</x:v>
      </x:c>
    </x:row>
    <x:row r="20">
      <x:c r="A20" t="str">
        <x:v>Huanuco - Tingo Maria</x:v>
      </x:c>
      <x:c r="B20" t="n">
        <x:v>535</x:v>
      </x:c>
      <x:c r="C20" t="n">
        <x:v>2</x:v>
      </x:c>
      <x:c r="D20" t="n">
        <x:v>1.15</x:v>
      </x:c>
      <x:c r="E20" t="n">
        <x:v>1230.5</x:v>
      </x:c>
      <x:c r="F20" t="str">
        <x:v>Nuevo archivo</x:v>
      </x:c>
      <x:c r="G20" t="str">
        <x:v>Hub Lurin → Huanuco (410 km) | Huanuco → Tingo Maria (125 km)</x:v>
      </x:c>
    </x:row>
    <x:row r="21">
      <x:c r="A21" t="str">
        <x:v>Huanuco - Tingo Maria - Chanchamayo - Satipo</x:v>
      </x:c>
      <x:c r="B21" t="n">
        <x:v>735</x:v>
      </x:c>
      <x:c r="C21" t="n">
        <x:v>2</x:v>
      </x:c>
      <x:c r="D21" t="n">
        <x:v>1.15</x:v>
      </x:c>
      <x:c r="E21" t="n">
        <x:v>1690.4999999999998</x:v>
      </x:c>
      <x:c r="F21" t="str">
        <x:v>Fallback: km anterior × 1.15</x:v>
      </x:c>
      <x:c r="G21" t="str">
        <x:v>Ruta completa no disponible en un mismo recorrido del archivo</x:v>
      </x:c>
    </x:row>
    <x:row r="22">
      <x:c r="A22" t="str">
        <x:v>Huanuco - Tingo Maria - Pucallpa</x:v>
      </x:c>
      <x:c r="B22" t="n">
        <x:v>825</x:v>
      </x:c>
      <x:c r="C22" t="n">
        <x:v>2</x:v>
      </x:c>
      <x:c r="D22" t="n">
        <x:v>1.15</x:v>
      </x:c>
      <x:c r="E22" t="n">
        <x:v>1897.4999999999998</x:v>
      </x:c>
      <x:c r="F22" t="str">
        <x:v>Nuevo archivo</x:v>
      </x:c>
      <x:c r="G22" t="str">
        <x:v>Hub Lurin → Huanuco (410 km) | Huanuco → Tingo Maria (125 km) | Tingo Maria → Pucallpa (290 km)</x:v>
      </x:c>
    </x:row>
    <x:row r="23">
      <x:c r="A23" t="str">
        <x:v>Jaen</x:v>
      </x:c>
      <x:c r="B23" t="n">
        <x:v>1080</x:v>
      </x:c>
      <x:c r="C23" t="n">
        <x:v>2</x:v>
      </x:c>
      <x:c r="D23" t="n">
        <x:v>1.15</x:v>
      </x:c>
      <x:c r="E23" t="n">
        <x:v>2484</x:v>
      </x:c>
      <x:c r="F23" t="str">
        <x:v>Fallback: km anterior × 1.15</x:v>
      </x:c>
      <x:c r="G23" t="str">
        <x:v>Ruta completa no disponible en un mismo recorrido del archivo</x:v>
      </x:c>
    </x:row>
    <x:row r="24">
      <x:c r="A24" t="str">
        <x:v>Mazuko</x:v>
      </x:c>
      <x:c r="B24" t="n">
        <x:v>1550</x:v>
      </x:c>
      <x:c r="C24" t="n">
        <x:v>2</x:v>
      </x:c>
      <x:c r="D24" t="n">
        <x:v>1.15</x:v>
      </x:c>
      <x:c r="E24" t="n">
        <x:v>3564.9999999999995</x:v>
      </x:c>
      <x:c r="F24" t="str">
        <x:v>Nuevo archivo</x:v>
      </x:c>
      <x:c r="G24" t="str">
        <x:v>Hub Lurin → Mazuco (1550 km)</x:v>
      </x:c>
    </x:row>
    <x:row r="25">
      <x:c r="A25" t="str">
        <x:v>Motupe</x:v>
      </x:c>
      <x:c r="B25" t="n">
        <x:v>855</x:v>
      </x:c>
      <x:c r="C25" t="n">
        <x:v>2</x:v>
      </x:c>
      <x:c r="D25" t="n">
        <x:v>1.15</x:v>
      </x:c>
      <x:c r="E25" t="n">
        <x:v>1966.4999999999998</x:v>
      </x:c>
      <x:c r="F25" t="str">
        <x:v>Nuevo archivo</x:v>
      </x:c>
      <x:c r="G25" t="str">
        <x:v>Hub Lurin → Chiclayo (775 km) | Chiclayo → Motupe (80 km)</x:v>
      </x:c>
    </x:row>
    <x:row r="26">
      <x:c r="A26" t="str">
        <x:v>Piura</x:v>
      </x:c>
      <x:c r="B26" t="n">
        <x:v>970</x:v>
      </x:c>
      <x:c r="C26" t="n">
        <x:v>2</x:v>
      </x:c>
      <x:c r="D26" t="n">
        <x:v>1.15</x:v>
      </x:c>
      <x:c r="E26" t="n">
        <x:v>2231</x:v>
      </x:c>
      <x:c r="F26" t="str">
        <x:v>Nuevo archivo</x:v>
      </x:c>
      <x:c r="G26" t="str">
        <x:v>Hub Lurin → Trujillo (560 km) | Trujillo → Piura (410 km)</x:v>
      </x:c>
    </x:row>
    <x:row r="27">
      <x:c r="A27" t="str">
        <x:v>Pucallpa</x:v>
      </x:c>
      <x:c r="B27" t="n">
        <x:v>760</x:v>
      </x:c>
      <x:c r="C27" t="n">
        <x:v>2</x:v>
      </x:c>
      <x:c r="D27" t="n">
        <x:v>1.15</x:v>
      </x:c>
      <x:c r="E27" t="n">
        <x:v>1747.9999999999998</x:v>
      </x:c>
      <x:c r="F27" t="str">
        <x:v>Nuevo archivo</x:v>
      </x:c>
      <x:c r="G27" t="str">
        <x:v>Hub Lurin → Pucallpa (760 km)</x:v>
      </x:c>
    </x:row>
    <x:row r="28">
      <x:c r="A28" t="str">
        <x:v>Trujillo</x:v>
      </x:c>
      <x:c r="B28" t="n">
        <x:v>560</x:v>
      </x:c>
      <x:c r="C28" t="n">
        <x:v>2</x:v>
      </x:c>
      <x:c r="D28" t="n">
        <x:v>1.15</x:v>
      </x:c>
      <x:c r="E28" t="n">
        <x:v>1288</x:v>
      </x:c>
      <x:c r="F28" t="str">
        <x:v>Nuevo archivo</x:v>
      </x:c>
      <x:c r="G28" t="str">
        <x:v>Hub Lurin → Trujillo (560 km)</x:v>
      </x:c>
    </x:row>
    <x:row r="29">
      <x:c r="A29" t="str">
        <x:v>Trujillo - Cajamarca</x:v>
      </x:c>
      <x:c r="B29" t="n">
        <x:v>885</x:v>
      </x:c>
      <x:c r="C29" t="n">
        <x:v>2</x:v>
      </x:c>
      <x:c r="D29" t="n">
        <x:v>1.15</x:v>
      </x:c>
      <x:c r="E29" t="n">
        <x:v>2035.4999999999998</x:v>
      </x:c>
      <x:c r="F29" t="str">
        <x:v>Fallback: km anterior × 1.15</x:v>
      </x:c>
      <x:c r="G29" t="str">
        <x:v>Ruta completa no disponible en un mismo recorrido del archivo</x:v>
      </x:c>
    </x:row>
    <x:row r="30">
      <x:c r="A30" t="str">
        <x:v>Trujillo - Chiclayo</x:v>
      </x:c>
      <x:c r="B30" t="n">
        <x:v>800</x:v>
      </x:c>
      <x:c r="C30" t="n">
        <x:v>2</x:v>
      </x:c>
      <x:c r="D30" t="n">
        <x:v>1.15</x:v>
      </x:c>
      <x:c r="E30" t="n">
        <x:v>1839.9999999999998</x:v>
      </x:c>
      <x:c r="F30" t="str">
        <x:v>Fallback: km anterior × 1.15</x:v>
      </x:c>
      <x:c r="G30" t="str">
        <x:v>Ruta completa no disponible en un mismo recorrido del archivo</x:v>
      </x:c>
    </x:row>
    <x:row r="31">
      <x:c r="A31" t="str">
        <x:v>Trujillo - Piura</x:v>
      </x:c>
      <x:c r="B31" t="n">
        <x:v>970</x:v>
      </x:c>
      <x:c r="C31" t="n">
        <x:v>2</x:v>
      </x:c>
      <x:c r="D31" t="n">
        <x:v>1.15</x:v>
      </x:c>
      <x:c r="E31" t="n">
        <x:v>2231</x:v>
      </x:c>
      <x:c r="F31" t="str">
        <x:v>Nuevo archivo</x:v>
      </x:c>
      <x:c r="G31" t="str">
        <x:v>Hub Lurin → Trujillo (560 km) | Trujillo → Piura (410 km)</x:v>
      </x:c>
    </x:row>
    <x:row r="32">
      <x:c r="A32"/>
      <x:c r="B32"/>
      <x:c r="C32"/>
      <x:c r="D32"/>
      <x:c r="E32"/>
      <x:c r="F32"/>
      <x:c r="G32"/>
    </x:row>
    <x:row r="33">
      <x:c r="A33"/>
      <x:c r="B33"/>
      <x:c r="C33"/>
      <x:c r="D33"/>
      <x:c r="E33"/>
      <x:c r="F33"/>
      <x:c r="G33"/>
    </x:row>
    <x:row r="34">
      <x:c r="A34"/>
      <x:c r="B34"/>
      <x:c r="C34"/>
      <x:c r="D34"/>
      <x:c r="E34"/>
      <x:c r="F34"/>
      <x:c r="G34"/>
    </x:row>
    <x:row r="35">
      <x:c r="A35"/>
      <x:c r="B35"/>
      <x:c r="C35"/>
      <x:c r="D35"/>
      <x:c r="E35"/>
      <x:c r="F35"/>
      <x:c r="G35"/>
    </x:row>
    <x:row r="36">
      <x:c r="A36"/>
      <x:c r="B36"/>
      <x:c r="C36"/>
      <x:c r="D36"/>
      <x:c r="E36"/>
      <x:c r="F36"/>
      <x:c r="G36"/>
    </x:row>
    <x:row r="37">
      <x:c r="A37"/>
      <x:c r="B37"/>
      <x:c r="C37"/>
      <x:c r="D37"/>
      <x:c r="E37"/>
      <x:c r="F37"/>
      <x:c r="G37"/>
    </x:row>
    <x:row r="38">
      <x:c r="A38"/>
      <x:c r="B38"/>
      <x:c r="C38"/>
      <x:c r="D38"/>
      <x:c r="E38"/>
      <x:c r="F38"/>
      <x:c r="G38"/>
    </x:row>
    <x:row r="39">
      <x:c r="A39"/>
      <x:c r="B39"/>
      <x:c r="C39"/>
      <x:c r="D39"/>
      <x:c r="E39"/>
      <x:c r="F39"/>
      <x:c r="G39"/>
    </x:row>
    <x:row r="40">
      <x:c r="A40"/>
      <x:c r="B40"/>
      <x:c r="C40"/>
      <x:c r="D40"/>
      <x:c r="E40"/>
      <x:c r="F40"/>
      <x:c r="G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10" t="str">
        <x:v>S/gal actualizado — Ene-Mar 2026 — rendimiento por proveedor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</x:row>
    <x:row r="3">
      <x:c r="A3" s="4" t="str">
        <x:v>Ruta</x:v>
      </x:c>
      <x:c r="B3" s="4" t="str">
        <x:v>Km final</x:v>
      </x:c>
      <x:c r="C3" s="4" t="str">
        <x:v>Rend HECARO</x:v>
      </x:c>
      <x:c r="D3" s="4" t="str">
        <x:v>Gal HECARO</x:v>
      </x:c>
      <x:c r="E3" s="4" t="str">
        <x:v>Tarifa HECARO</x:v>
      </x:c>
      <x:c r="F3" s="4" t="str">
        <x:v>% Comb HECARO</x:v>
      </x:c>
      <x:c r="G3" s="4" t="str">
        <x:v>S/ Comb HECARO</x:v>
      </x:c>
      <x:c r="H3" s="4" t="str">
        <x:v>S/gal HECARO</x:v>
      </x:c>
      <x:c r="I3" s="4" t="str">
        <x:v>Rend LMG</x:v>
      </x:c>
      <x:c r="J3" s="4" t="str">
        <x:v>Gal LMG</x:v>
      </x:c>
      <x:c r="K3" s="4" t="str">
        <x:v>Tarifa LMG</x:v>
      </x:c>
      <x:c r="L3" s="4" t="str">
        <x:v>% Comb LMG</x:v>
      </x:c>
      <x:c r="M3" s="4" t="str">
        <x:v>S/ Comb LMG</x:v>
      </x:c>
      <x:c r="N3" s="4" t="str">
        <x:v>S/gal LMG</x:v>
      </x:c>
      <x:c r="O3" s="4" t="str">
        <x:v>Rend QOLPARO</x:v>
      </x:c>
      <x:c r="P3" s="4" t="str">
        <x:v>Gal QOLPARO</x:v>
      </x:c>
      <x:c r="Q3" s="4" t="str">
        <x:v>Tarifa QOLPARO</x:v>
      </x:c>
      <x:c r="R3" s="4" t="str">
        <x:v>% Comb QOLPARO</x:v>
      </x:c>
      <x:c r="S3" s="4" t="str">
        <x:v>S/ Comb QOLPARO</x:v>
      </x:c>
      <x:c r="T3" s="4" t="str">
        <x:v>S/gal QOLPARO</x:v>
      </x:c>
    </x:row>
    <x:row r="4">
      <x:c r="A4" t="str">
        <x:v>Ancash - Chimbote</x:v>
      </x:c>
      <x:c r="B4" t="n">
        <x:v>1460.5</x:v>
      </x:c>
      <x:c r="C4" s="14" t="n">
        <x:v>7.87</x:v>
      </x:c>
      <x:c r="D4" s="16" t="n">
        <x:f>B4/C4</x:f>
        <x:v>185.57814485387547</x:v>
      </x:c>
      <x:c r="E4" s="18" t="n">
        <x:v>4500</x:v>
      </x:c>
      <x:c r="F4" s="20" t="n">
        <x:v>0.6</x:v>
      </x:c>
      <x:c r="G4" s="18" t="n">
        <x:f>IF(E4="","",E4*F4)</x:f>
        <x:v>2700</x:v>
      </x:c>
      <x:c r="H4" s="18" t="n">
        <x:f>IF(G4="","",G4/D4)</x:f>
        <x:v>14.549127011297502</x:v>
      </x:c>
      <x:c r="I4" s="14" t="n">
        <x:v>7.83</x:v>
      </x:c>
      <x:c r="J4" s="16" t="n">
        <x:f>B4/I4</x:f>
        <x:v>186.52618135376756</x:v>
      </x:c>
      <x:c r="K4" s="18" t="n">
        <x:v>4500</x:v>
      </x:c>
      <x:c r="L4" s="20" t="n">
        <x:v>0.52</x:v>
      </x:c>
      <x:c r="M4" s="18" t="n">
        <x:f>IF(K4="","",K4*L4)</x:f>
        <x:v>2340</x:v>
      </x:c>
      <x:c r="N4" s="18" t="n">
        <x:f>IF(M4="","",M4/J4)</x:f>
        <x:v>12.545155768572407</x:v>
      </x:c>
      <x:c r="O4" s="14" t="n">
        <x:v>8.25</x:v>
      </x:c>
      <x:c r="P4" s="16" t="n">
        <x:f>B4/O4</x:f>
        <x:v>177.03030303030303</x:v>
      </x:c>
      <x:c r="Q4" s="18" t="n">
        <x:v>4500</x:v>
      </x:c>
      <x:c r="R4" s="20" t="n">
        <x:v>0.5</x:v>
      </x:c>
      <x:c r="S4" s="18" t="n">
        <x:f>IF(Q4="","",Q4*R4)</x:f>
        <x:v>2250</x:v>
      </x:c>
      <x:c r="T4" s="18" t="n">
        <x:f>IF(S4="","",S4/P4)</x:f>
        <x:v>12.709688462855187</x:v>
      </x:c>
    </x:row>
    <x:row r="5">
      <x:c r="A5" t="str">
        <x:v>Arequipa</x:v>
      </x:c>
      <x:c r="B5" t="n">
        <x:v>2346</x:v>
      </x:c>
      <x:c r="C5" s="14" t="n">
        <x:v>7.87</x:v>
      </x:c>
      <x:c r="D5" s="16" t="n">
        <x:f>B5/C5</x:f>
        <x:v>298.09402795425666</x:v>
      </x:c>
      <x:c r="E5" s="18" t="n">
        <x:v>8756</x:v>
      </x:c>
      <x:c r="F5" s="20" t="n">
        <x:v>0.65</x:v>
      </x:c>
      <x:c r="G5" s="18" t="n">
        <x:f>IF(E5="","",E5*F5)</x:f>
        <x:v>5691.400000000001</x:v>
      </x:c>
      <x:c r="H5" s="18" t="n">
        <x:f>IF(G5="","",G5/D5)</x:f>
        <x:v>19.09263341858483</x:v>
      </x:c>
      <x:c r="I5" s="14" t="n">
        <x:v>7.83</x:v>
      </x:c>
      <x:c r="J5" s="16" t="n">
        <x:f>B5/I5</x:f>
        <x:v>299.6168582375479</x:v>
      </x:c>
      <x:c r="K5" s="18" t="n">
        <x:v>8756</x:v>
      </x:c>
      <x:c r="L5" s="20" t="n">
        <x:v>0.52</x:v>
      </x:c>
      <x:c r="M5" s="18" t="n">
        <x:f>IF(K5="","",K5*L5)</x:f>
        <x:v>4553.12</x:v>
      </x:c>
      <x:c r="N5" s="18" t="n">
        <x:f>IF(M5="","",M5/J5)</x:f>
        <x:v>15.196474680306904</x:v>
      </x:c>
      <x:c r="O5" s="14" t="n">
        <x:v>8.25</x:v>
      </x:c>
      <x:c r="P5" s="16" t="n">
        <x:f>B5/O5</x:f>
        <x:v>284.3636363636364</x:v>
      </x:c>
      <x:c r="Q5" s="18" t="n">
        <x:v>8756</x:v>
      </x:c>
      <x:c r="R5" s="20" t="n">
        <x:v>0.5</x:v>
      </x:c>
      <x:c r="S5" s="18" t="n">
        <x:f>IF(Q5="","",Q5*R5)</x:f>
        <x:v>4378</x:v>
      </x:c>
      <x:c r="T5" s="18" t="n">
        <x:f>IF(S5="","",S5/P5)</x:f>
        <x:v>15.395780051150895</x:v>
      </x:c>
    </x:row>
    <x:row r="6">
      <x:c r="A6" t="str">
        <x:v>Arequipa - Cusco</x:v>
      </x:c>
      <x:c r="B6" t="n">
        <x:v>3518.9999999999995</x:v>
      </x:c>
      <x:c r="C6" s="14" t="n">
        <x:v>7.87</x:v>
      </x:c>
      <x:c r="D6" s="16" t="n">
        <x:f>B6/C6</x:f>
        <x:v>447.14104193138496</x:v>
      </x:c>
      <x:c r="E6" s="18" t="n">
        <x:v>11500</x:v>
      </x:c>
      <x:c r="F6" s="20" t="n">
        <x:v>0.7</x:v>
      </x:c>
      <x:c r="G6" s="18" t="n">
        <x:f>IF(E6="","",E6*F6)</x:f>
        <x:v>8049.999999999999</x:v>
      </x:c>
      <x:c r="H6" s="18" t="n">
        <x:f>IF(G6="","",G6/D6)</x:f>
        <x:v>18.003267973856207</x:v>
      </x:c>
      <x:c r="I6" s="14" t="n">
        <x:v>7.83</x:v>
      </x:c>
      <x:c r="J6" s="16" t="n">
        <x:f>B6/I6</x:f>
        <x:v>449.4252873563218</x:v>
      </x:c>
      <x:c r="K6" s="18" t="n">
        <x:v>11500</x:v>
      </x:c>
      <x:c r="L6" s="20" t="n">
        <x:v>0.52</x:v>
      </x:c>
      <x:c r="M6" s="18" t="n">
        <x:f>IF(K6="","",K6*L6)</x:f>
        <x:v>5980</x:v>
      </x:c>
      <x:c r="N6" s="18" t="n">
        <x:f>IF(M6="","",M6/J6)</x:f>
        <x:v>13.305882352941177</x:v>
      </x:c>
      <x:c r="O6" s="14" t="n">
        <x:v>8.25</x:v>
      </x:c>
      <x:c r="P6" s="16" t="n">
        <x:f>B6/O6</x:f>
        <x:v>426.5454545454545</x:v>
      </x:c>
      <x:c r="Q6" s="18" t="n">
        <x:v>11500</x:v>
      </x:c>
      <x:c r="R6" s="20" t="n">
        <x:v>0.5</x:v>
      </x:c>
      <x:c r="S6" s="18" t="n">
        <x:f>IF(Q6="","",Q6*R6)</x:f>
        <x:v>5750</x:v>
      </x:c>
      <x:c r="T6" s="18" t="n">
        <x:f>IF(S6="","",S6/P6)</x:f>
        <x:v>13.480392156862747</x:v>
      </x:c>
    </x:row>
    <x:row r="7">
      <x:c r="A7" t="str">
        <x:v>Arequipa - Juliaca</x:v>
      </x:c>
      <x:c r="B7" t="n">
        <x:v>4738</x:v>
      </x:c>
      <x:c r="C7" s="14" t="n">
        <x:v>7.87</x:v>
      </x:c>
      <x:c r="D7" s="16" t="n">
        <x:f>B7/C7</x:f>
        <x:v>602.0330368487929</x:v>
      </x:c>
      <x:c r="E7" s="18" t="n">
        <x:v>11500</x:v>
      </x:c>
      <x:c r="F7" s="20" t="n">
        <x:v>0.7</x:v>
      </x:c>
      <x:c r="G7" s="18" t="n">
        <x:f>IF(E7="","",E7*F7)</x:f>
        <x:v>8049.999999999999</x:v>
      </x:c>
      <x:c r="H7" s="18" t="n">
        <x:f>IF(G7="","",G7/D7)</x:f>
        <x:v>13.371359223300969</x:v>
      </x:c>
      <x:c r="I7" s="14" t="n">
        <x:v>7.83</x:v>
      </x:c>
      <x:c r="J7" s="16" t="n">
        <x:f>B7/I7</x:f>
        <x:v>605.1085568326947</x:v>
      </x:c>
      <x:c r="K7" s="18" t="n">
        <x:v>11500</x:v>
      </x:c>
      <x:c r="L7" s="20" t="n">
        <x:v>0.52</x:v>
      </x:c>
      <x:c r="M7" s="18" t="n">
        <x:f>IF(K7="","",K7*L7)</x:f>
        <x:v>5980</x:v>
      </x:c>
      <x:c r="N7" s="18" t="n">
        <x:f>IF(M7="","",M7/J7)</x:f>
        <x:v>9.88252427184466</x:v>
      </x:c>
      <x:c r="O7" s="14" t="n">
        <x:v>8.25</x:v>
      </x:c>
      <x:c r="P7" s="16" t="n">
        <x:f>B7/O7</x:f>
        <x:v>574.3030303030303</x:v>
      </x:c>
      <x:c r="Q7" s="18" t="n">
        <x:v>11500</x:v>
      </x:c>
      <x:c r="R7" s="20" t="n">
        <x:v>0.5</x:v>
      </x:c>
      <x:c r="S7" s="18" t="n">
        <x:f>IF(Q7="","",Q7*R7)</x:f>
        <x:v>5750</x:v>
      </x:c>
      <x:c r="T7" s="18" t="n">
        <x:f>IF(S7="","",S7/P7)</x:f>
        <x:v>10.012135922330097</x:v>
      </x:c>
    </x:row>
    <x:row r="8">
      <x:c r="A8" t="str">
        <x:v>Arequipa - Juliaca - Cusco</x:v>
      </x:c>
      <x:c r="B8" t="n">
        <x:v>3122.2499999999995</x:v>
      </x:c>
      <x:c r="C8" s="14" t="n">
        <x:v>7.87</x:v>
      </x:c>
      <x:c r="D8" s="16" t="n">
        <x:f>B8/C8</x:f>
        <x:v>396.7280813214739</x:v>
      </x:c>
      <x:c r="E8" s="18" t="n">
        <x:v>11500</x:v>
      </x:c>
      <x:c r="F8" s="20" t="n">
        <x:v>0.7</x:v>
      </x:c>
      <x:c r="G8" s="18" t="n">
        <x:f>IF(E8="","",E8*F8)</x:f>
        <x:v>8049.999999999999</x:v>
      </x:c>
      <x:c r="H8" s="18" t="n">
        <x:f>IF(G8="","",G8/D8)</x:f>
        <x:v>20.29097605893186</x:v>
      </x:c>
      <x:c r="I8" s="14" t="n">
        <x:v>7.83</x:v>
      </x:c>
      <x:c r="J8" s="16" t="n">
        <x:f>B8/I8</x:f>
        <x:v>398.75478927203056</x:v>
      </x:c>
      <x:c r="K8" s="18" t="n">
        <x:v>11500</x:v>
      </x:c>
      <x:c r="L8" s="20" t="n">
        <x:v>0.52</x:v>
      </x:c>
      <x:c r="M8" s="18" t="n">
        <x:f>IF(K8="","",K8*L8)</x:f>
        <x:v>5980</x:v>
      </x:c>
      <x:c r="N8" s="18" t="n">
        <x:f>IF(M8="","",M8/J8)</x:f>
        <x:v>14.996685082872931</x:v>
      </x:c>
      <x:c r="O8" s="14" t="n">
        <x:v>8.25</x:v>
      </x:c>
      <x:c r="P8" s="16" t="n">
        <x:f>B8/O8</x:f>
        <x:v>378.4545454545454</x:v>
      </x:c>
      <x:c r="Q8" s="18" t="n">
        <x:v>11500</x:v>
      </x:c>
      <x:c r="R8" s="20" t="n">
        <x:v>0.5</x:v>
      </x:c>
      <x:c r="S8" s="18" t="n">
        <x:f>IF(Q8="","",Q8*R8)</x:f>
        <x:v>5750</x:v>
      </x:c>
      <x:c r="T8" s="18" t="n">
        <x:f>IF(S8="","",S8/P8)</x:f>
        <x:v>15.19337016574586</x:v>
      </x:c>
    </x:row>
    <x:row r="9">
      <x:c r="A9" t="str">
        <x:v>Ayacucho</x:v>
      </x:c>
      <x:c r="B9" t="n">
        <x:v>1380</x:v>
      </x:c>
      <x:c r="C9" s="14" t="n">
        <x:v>7.87</x:v>
      </x:c>
      <x:c r="D9" s="16" t="n">
        <x:f>B9/C9</x:f>
        <x:v>175.34942820838629</x:v>
      </x:c>
      <x:c r="E9" s="18" t="n">
        <x:v>4725</x:v>
      </x:c>
      <x:c r="F9" s="20" t="n">
        <x:v>0.55</x:v>
      </x:c>
      <x:c r="G9" s="18" t="n">
        <x:f>IF(E9="","",E9*F9)</x:f>
        <x:v>2598.75</x:v>
      </x:c>
      <x:c r="H9" s="18" t="n">
        <x:f>IF(G9="","",G9/D9)</x:f>
        <x:v>14.820407608695652</x:v>
      </x:c>
      <x:c r="I9" s="14" t="n">
        <x:v>7.83</x:v>
      </x:c>
      <x:c r="J9" s="16" t="n">
        <x:f>B9/I9</x:f>
        <x:v>176.24521072796935</x:v>
      </x:c>
      <x:c r="K9" s="18" t="n">
        <x:v>4725</x:v>
      </x:c>
      <x:c r="L9" s="20" t="n">
        <x:v>0.52</x:v>
      </x:c>
      <x:c r="M9" s="18" t="n">
        <x:f>IF(K9="","",K9*L9)</x:f>
        <x:v>2457</x:v>
      </x:c>
      <x:c r="N9" s="18" t="n">
        <x:f>IF(M9="","",M9/J9)</x:f>
        <x:v>13.940804347826086</x:v>
      </x:c>
      <x:c r="O9" s="14" t="n">
        <x:v>8.25</x:v>
      </x:c>
      <x:c r="P9" s="16" t="n">
        <x:f>B9/O9</x:f>
        <x:v>167.27272727272728</x:v>
      </x:c>
      <x:c r="Q9" s="18" t="n">
        <x:v>4725</x:v>
      </x:c>
      <x:c r="R9" s="20" t="n">
        <x:v>0.5</x:v>
      </x:c>
      <x:c r="S9" s="18" t="n">
        <x:f>IF(Q9="","",Q9*R9)</x:f>
        <x:v>2362.5</x:v>
      </x:c>
      <x:c r="T9" s="18" t="n">
        <x:f>IF(S9="","",S9/P9)</x:f>
        <x:v>14.123641304347826</x:v>
      </x:c>
    </x:row>
    <x:row r="10">
      <x:c r="A10" t="str">
        <x:v>Ayacucho - Huancavelica - Huanuco</x:v>
      </x:c>
      <x:c r="B10" t="n">
        <x:v>1954.9999999999998</x:v>
      </x:c>
      <x:c r="C10" s="14" t="n">
        <x:v>7.87</x:v>
      </x:c>
      <x:c r="D10" s="16" t="n">
        <x:f>B10/C10</x:f>
        <x:v>248.41168996188054</x:v>
      </x:c>
      <x:c r="E10" s="18" t="n">
        <x:v>6924</x:v>
      </x:c>
      <x:c r="F10" s="20" t="n">
        <x:v>0.55</x:v>
      </x:c>
      <x:c r="G10" s="18" t="n">
        <x:f>IF(E10="","",E10*F10)</x:f>
        <x:v>3808.2000000000003</x:v>
      </x:c>
      <x:c r="H10" s="18" t="n">
        <x:f>IF(G10="","",G10/D10)</x:f>
        <x:v>15.330196419437343</x:v>
      </x:c>
      <x:c r="I10" s="14" t="n">
        <x:v>7.83</x:v>
      </x:c>
      <x:c r="J10" s="16" t="n">
        <x:f>B10/I10</x:f>
        <x:v>249.68071519795654</x:v>
      </x:c>
      <x:c r="K10" s="18" t="n">
        <x:v>6924</x:v>
      </x:c>
      <x:c r="L10" s="20" t="n">
        <x:v>0.52</x:v>
      </x:c>
      <x:c r="M10" s="18" t="n">
        <x:f>IF(K10="","",K10*L10)</x:f>
        <x:v>3600.48</x:v>
      </x:c>
      <x:c r="N10" s="18" t="n">
        <x:f>IF(M10="","",M10/J10)</x:f>
        <x:v>14.420336777493608</x:v>
      </x:c>
      <x:c r="O10" s="14" t="n">
        <x:v>8.25</x:v>
      </x:c>
      <x:c r="P10" s="16" t="n">
        <x:f>B10/O10</x:f>
        <x:v>236.96969696969694</x:v>
      </x:c>
      <x:c r="Q10" s="18" t="n">
        <x:v>6924</x:v>
      </x:c>
      <x:c r="R10" s="20" t="n">
        <x:v>0.5</x:v>
      </x:c>
      <x:c r="S10" s="18" t="n">
        <x:f>IF(Q10="","",Q10*R10)</x:f>
        <x:v>3462</x:v>
      </x:c>
      <x:c r="T10" s="18" t="n">
        <x:f>IF(S10="","",S10/P10)</x:f>
        <x:v>14.609462915601025</x:v>
      </x:c>
    </x:row>
    <x:row r="11">
      <x:c r="A11" t="str">
        <x:v>Cañete - Ica - Nazca</x:v>
      </x:c>
      <x:c r="B11" t="n">
        <x:v>963.6999999999999</x:v>
      </x:c>
      <x:c r="C11" s="14" t="n">
        <x:v>7.87</x:v>
      </x:c>
      <x:c r="D11" s="16" t="n">
        <x:f>B11/C11</x:f>
        <x:v>122.4523506988564</x:v>
      </x:c>
      <x:c r="E11" s="18" t="n">
        <x:v>3050</x:v>
      </x:c>
      <x:c r="F11" s="20" t="n">
        <x:v>0.5</x:v>
      </x:c>
      <x:c r="G11" s="18" t="n">
        <x:f>IF(E11="","",E11*F11)</x:f>
        <x:v>1525</x:v>
      </x:c>
      <x:c r="H11" s="18" t="n">
        <x:f>IF(G11="","",G11/D11)</x:f>
        <x:v>12.45382380408841</x:v>
      </x:c>
      <x:c r="I11" s="14" t="n">
        <x:v>7.83</x:v>
      </x:c>
      <x:c r="J11" s="16" t="n">
        <x:f>B11/I11</x:f>
        <x:v>123.07790549169859</x:v>
      </x:c>
      <x:c r="K11" s="18" t="n">
        <x:v>3050</x:v>
      </x:c>
      <x:c r="L11" s="20" t="n">
        <x:v>0.52</x:v>
      </x:c>
      <x:c r="M11" s="18" t="n">
        <x:f>IF(K11="","",K11*L11)</x:f>
        <x:v>1586</x:v>
      </x:c>
      <x:c r="N11" s="18" t="n">
        <x:f>IF(M11="","",M11/J11)</x:f>
        <x:v>12.886147141226523</x:v>
      </x:c>
      <x:c r="O11" s="14" t="n">
        <x:v>8.25</x:v>
      </x:c>
      <x:c r="P11" s="16" t="n">
        <x:f>B11/O11</x:f>
        <x:v>116.8121212121212</x:v>
      </x:c>
      <x:c r="Q11" s="18" t="n">
        <x:v>2900</x:v>
      </x:c>
      <x:c r="R11" s="20" t="n">
        <x:v>0.5</x:v>
      </x:c>
      <x:c r="S11" s="18" t="n">
        <x:f>IF(Q11="","",Q11*R11)</x:f>
        <x:v>1450</x:v>
      </x:c>
      <x:c r="T11" s="18" t="n">
        <x:f>IF(S11="","",S11/P11)</x:f>
        <x:v>12.413095361627065</x:v>
      </x:c>
    </x:row>
    <x:row r="12">
      <x:c r="A12" t="str">
        <x:v>Chiclayo</x:v>
      </x:c>
      <x:c r="B12" t="n">
        <x:v>1782.4999999999998</x:v>
      </x:c>
      <x:c r="C12" s="14" t="n">
        <x:v>7.87</x:v>
      </x:c>
      <x:c r="D12" s="16" t="n">
        <x:f>B12/C12</x:f>
        <x:v>226.49301143583224</x:v>
      </x:c>
      <x:c r="E12" s="18" t="n">
        <x:v>8046</x:v>
      </x:c>
      <x:c r="F12" s="20" t="n">
        <x:v>0.6</x:v>
      </x:c>
      <x:c r="G12" s="18" t="n">
        <x:f>IF(E12="","",E12*F12)</x:f>
        <x:v>4827.599999999999</x:v>
      </x:c>
      <x:c r="H12" s="18" t="n">
        <x:f>IF(G12="","",G12/D12)</x:f>
        <x:v>21.314564936886395</x:v>
      </x:c>
      <x:c r="I12" s="14" t="n">
        <x:v>7.83</x:v>
      </x:c>
      <x:c r="J12" s="16" t="n">
        <x:f>B12/I12</x:f>
        <x:v>227.65006385696037</x:v>
      </x:c>
      <x:c r="K12" s="18" t="n">
        <x:v>8046</x:v>
      </x:c>
      <x:c r="L12" s="20" t="n">
        <x:v>0.52</x:v>
      </x:c>
      <x:c r="M12" s="18" t="n">
        <x:f>IF(K12="","",K12*L12)</x:f>
        <x:v>4183.92</x:v>
      </x:c>
      <x:c r="N12" s="18" t="n">
        <x:f>IF(M12="","",M12/J12)</x:f>
        <x:v>18.37873413744741</x:v>
      </x:c>
      <x:c r="O12" s="14" t="n">
        <x:v>8.25</x:v>
      </x:c>
      <x:c r="P12" s="16" t="n">
        <x:f>B12/O12</x:f>
        <x:v>216.06060606060603</x:v>
      </x:c>
      <x:c r="Q12" s="18" t="n">
        <x:v>7800</x:v>
      </x:c>
      <x:c r="R12" s="20" t="n">
        <x:v>0.5</x:v>
      </x:c>
      <x:c r="S12" s="18" t="n">
        <x:f>IF(Q12="","",Q12*R12)</x:f>
        <x:v>3900</x:v>
      </x:c>
      <x:c r="T12" s="18" t="n">
        <x:f>IF(S12="","",S12/P12)</x:f>
        <x:v>18.050490883590466</x:v>
      </x:c>
    </x:row>
    <x:row r="13">
      <x:c r="A13" t="str">
        <x:v>Chiclayo - Motupe - Cajamarca</x:v>
      </x:c>
      <x:c r="B13" t="n">
        <x:v>2254</x:v>
      </x:c>
      <x:c r="C13" s="14" t="n">
        <x:v>7.87</x:v>
      </x:c>
      <x:c r="D13" s="16" t="n">
        <x:f>B13/C13</x:f>
        <x:v>286.4040660736976</x:v>
      </x:c>
      <x:c r="E13" s="18" t="n">
        <x:v>11000</x:v>
      </x:c>
      <x:c r="F13" s="20" t="n">
        <x:v>0.6</x:v>
      </x:c>
      <x:c r="G13" s="18" t="n">
        <x:f>IF(E13="","",E13*F13)</x:f>
        <x:v>6600</x:v>
      </x:c>
      <x:c r="H13" s="18" t="n">
        <x:f>IF(G13="","",G13/D13)</x:f>
        <x:v>23.044365572315883</x:v>
      </x:c>
      <x:c r="I13" s="14" t="n">
        <x:v>7.83</x:v>
      </x:c>
      <x:c r="J13" s="16" t="n">
        <x:f>B13/I13</x:f>
        <x:v>287.86717752234995</x:v>
      </x:c>
      <x:c r="K13" s="18" t="n">
        <x:v>11000</x:v>
      </x:c>
      <x:c r="L13" s="20" t="n">
        <x:v>0.52</x:v>
      </x:c>
      <x:c r="M13" s="18" t="n">
        <x:f>IF(K13="","",K13*L13)</x:f>
        <x:v>5720</x:v>
      </x:c>
      <x:c r="N13" s="18" t="n">
        <x:f>IF(M13="","",M13/J13)</x:f>
        <x:v>19.87027506654836</x:v>
      </x:c>
      <x:c r="O13" s="14" t="n">
        <x:v>8.25</x:v>
      </x:c>
      <x:c r="P13" s="16" t="n">
        <x:f>B13/O13</x:f>
        <x:v>273.2121212121212</x:v>
      </x:c>
      <x:c r="Q13" s="18" t="n">
        <x:v>11000</x:v>
      </x:c>
      <x:c r="R13" s="20" t="n">
        <x:v>0.5</x:v>
      </x:c>
      <x:c r="S13" s="18" t="n">
        <x:f>IF(Q13="","",Q13*R13)</x:f>
        <x:v>5500</x:v>
      </x:c>
      <x:c r="T13" s="18" t="n">
        <x:f>IF(S13="","",S13/P13)</x:f>
        <x:v>20.130878438331855</x:v>
      </x:c>
    </x:row>
    <x:row r="14">
      <x:c r="A14" t="str">
        <x:v>Chiclayo - Piura</x:v>
      </x:c>
      <x:c r="B14" t="n">
        <x:v>2317.25</x:v>
      </x:c>
      <x:c r="C14" s="14" t="n">
        <x:v>7.87</x:v>
      </x:c>
      <x:c r="D14" s="16" t="n">
        <x:f>B14/C14</x:f>
        <x:v>294.440914866582</x:v>
      </x:c>
      <x:c r="E14" s="18" t="n">
        <x:v>8110</x:v>
      </x:c>
      <x:c r="F14" s="20" t="n">
        <x:v>0.6</x:v>
      </x:c>
      <x:c r="G14" s="18" t="n">
        <x:f>IF(E14="","",E14*F14)</x:f>
        <x:v>4866</x:v>
      </x:c>
      <x:c r="H14" s="18" t="n">
        <x:f>IF(G14="","",G14/D14)</x:f>
        <x:v>16.52623583989643</x:v>
      </x:c>
      <x:c r="I14" s="14" t="n">
        <x:v>7.83</x:v>
      </x:c>
      <x:c r="J14" s="16" t="n">
        <x:f>B14/I14</x:f>
        <x:v>295.9450830140485</x:v>
      </x:c>
      <x:c r="K14" s="18" t="n">
        <x:v>8110</x:v>
      </x:c>
      <x:c r="L14" s="20" t="n">
        <x:v>0.52</x:v>
      </x:c>
      <x:c r="M14" s="18" t="n">
        <x:f>IF(K14="","",K14*L14)</x:f>
        <x:v>4217.2</x:v>
      </x:c>
      <x:c r="N14" s="18" t="n">
        <x:f>IF(M14="","",M14/J14)</x:f>
        <x:v>14.249941093969145</x:v>
      </x:c>
      <x:c r="O14" s="14" t="n">
        <x:v>8.25</x:v>
      </x:c>
      <x:c r="P14" s="16" t="n">
        <x:f>B14/O14</x:f>
        <x:v>280.8787878787879</x:v>
      </x:c>
      <x:c r="Q14" s="18" t="n">
        <x:v>8110</x:v>
      </x:c>
      <x:c r="R14" s="20" t="n">
        <x:v>0.5</x:v>
      </x:c>
      <x:c r="S14" s="18" t="n">
        <x:f>IF(Q14="","",Q14*R14)</x:f>
        <x:v>4055</x:v>
      </x:c>
      <x:c r="T14" s="18" t="n">
        <x:f>IF(S14="","",S14/P14)</x:f>
        <x:v>14.436832452260223</x:v>
      </x:c>
    </x:row>
    <x:row r="15">
      <x:c r="A15" t="str">
        <x:v>Chiclayo - Trujillo</x:v>
      </x:c>
      <x:c r="B15" t="n">
        <x:v>1839.9999999999998</x:v>
      </x:c>
      <x:c r="C15" s="14" t="n">
        <x:v>7.87</x:v>
      </x:c>
      <x:c r="D15" s="16" t="n">
        <x:f>B15/C15</x:f>
        <x:v>233.79923761118167</x:v>
      </x:c>
      <x:c r="E15" s="18" t="n">
        <x:v>3500</x:v>
      </x:c>
      <x:c r="F15" s="20" t="n">
        <x:v>0.7</x:v>
      </x:c>
      <x:c r="G15" s="18" t="n">
        <x:f>IF(E15="","",E15*F15)</x:f>
        <x:v>2450</x:v>
      </x:c>
      <x:c r="H15" s="18" t="n">
        <x:f>IF(G15="","",G15/D15)</x:f>
        <x:v>10.479076086956523</x:v>
      </x:c>
      <x:c r="I15" s="14" t="n">
        <x:v>7.83</x:v>
      </x:c>
      <x:c r="J15" s="16" t="n">
        <x:f>B15/I15</x:f>
        <x:v>234.9936143039591</x:v>
      </x:c>
      <x:c r="K15" s="18" t="n">
        <x:v>3500</x:v>
      </x:c>
      <x:c r="L15" s="20" t="n">
        <x:v>0.52</x:v>
      </x:c>
      <x:c r="M15" s="18" t="n">
        <x:f>IF(K15="","",K15*L15)</x:f>
        <x:v>1820</x:v>
      </x:c>
      <x:c r="N15" s="18" t="n">
        <x:f>IF(M15="","",M15/J15)</x:f>
        <x:v>7.744891304347827</x:v>
      </x:c>
      <x:c r="O15" s="14" t="n">
        <x:v>8.25</x:v>
      </x:c>
      <x:c r="P15" s="16" t="n">
        <x:f>B15/O15</x:f>
        <x:v>223.030303030303</x:v>
      </x:c>
      <x:c r="Q15" s="18" t="n">
        <x:v>3500</x:v>
      </x:c>
      <x:c r="R15" s="20" t="n">
        <x:v>0.5</x:v>
      </x:c>
      <x:c r="S15" s="18" t="n">
        <x:f>IF(Q15="","",Q15*R15)</x:f>
        <x:v>1750</x:v>
      </x:c>
      <x:c r="T15" s="18" t="n">
        <x:f>IF(S15="","",S15/P15)</x:f>
        <x:v>7.846467391304349</x:v>
      </x:c>
    </x:row>
    <x:row r="16">
      <x:c r="A16" t="str">
        <x:v>Chiclayo - Motupe</x:v>
      </x:c>
      <x:c r="B16" t="n">
        <x:v>1966.4999999999998</x:v>
      </x:c>
      <x:c r="C16" s="14" t="n">
        <x:v>7.87</x:v>
      </x:c>
      <x:c r="D16" s="16" t="n">
        <x:f>B16/C16</x:f>
        <x:v>249.8729351969504</x:v>
      </x:c>
      <x:c r="E16" s="18" t="n">
        <x:v>8450</x:v>
      </x:c>
      <x:c r="F16" s="20" t="n">
        <x:v>0.6</x:v>
      </x:c>
      <x:c r="G16" s="18" t="n">
        <x:f>IF(E16="","",E16*F16)</x:f>
        <x:v>5070</x:v>
      </x:c>
      <x:c r="H16" s="18" t="n">
        <x:f>IF(G16="","",G16/D16)</x:f>
        <x:v>20.29031273836766</x:v>
      </x:c>
      <x:c r="I16" s="14" t="n">
        <x:v>7.83</x:v>
      </x:c>
      <x:c r="J16" s="16" t="n">
        <x:f>B16/I16</x:f>
        <x:v>251.14942528735628</x:v>
      </x:c>
      <x:c r="K16" s="18" t="n">
        <x:v>8450</x:v>
      </x:c>
      <x:c r="L16" s="20" t="n">
        <x:v>0.52</x:v>
      </x:c>
      <x:c r="M16" s="18" t="n">
        <x:f>IF(K16="","",K16*L16)</x:f>
        <x:v>4394</x:v>
      </x:c>
      <x:c r="N16" s="18" t="n">
        <x:f>IF(M16="","",M16/J16)</x:f>
        <x:v>17.49556064073227</x:v>
      </x:c>
      <x:c r="O16" s="14" t="n">
        <x:v>8.25</x:v>
      </x:c>
      <x:c r="P16" s="16" t="n">
        <x:f>B16/O16</x:f>
        <x:v>238.36363636363635</x:v>
      </x:c>
      <x:c r="Q16" s="18" t="n">
        <x:v>8450</x:v>
      </x:c>
      <x:c r="R16" s="20" t="n">
        <x:v>0.5</x:v>
      </x:c>
      <x:c r="S16" s="18" t="n">
        <x:f>IF(Q16="","",Q16*R16)</x:f>
        <x:v>4225</x:v>
      </x:c>
      <x:c r="T16" s="18" t="n">
        <x:f>IF(S16="","",S16/P16)</x:f>
        <x:v>17.725019069412664</x:v>
      </x:c>
    </x:row>
    <x:row r="17">
      <x:c r="A17" t="str">
        <x:v>Cusco</x:v>
      </x:c>
      <x:c r="B17" t="n">
        <x:v>3334.9999999999995</x:v>
      </x:c>
      <x:c r="C17" s="14" t="n">
        <x:v>7.87</x:v>
      </x:c>
      <x:c r="D17" s="16" t="n">
        <x:f>B17/C17</x:f>
        <x:v>423.7611181702668</x:v>
      </x:c>
      <x:c r="E17" s="18" t="n">
        <x:v>10460</x:v>
      </x:c>
      <x:c r="F17" s="20" t="n">
        <x:v>0.7</x:v>
      </x:c>
      <x:c r="G17" s="18" t="n">
        <x:f>IF(E17="","",E17*F17)</x:f>
        <x:v>7321.999999999999</x:v>
      </x:c>
      <x:c r="H17" s="18" t="n">
        <x:f>IF(G17="","",G17/D17)</x:f>
        <x:v>17.278602698650673</x:v>
      </x:c>
      <x:c r="I17" s="14" t="n">
        <x:v>7.83</x:v>
      </x:c>
      <x:c r="J17" s="16" t="n">
        <x:f>B17/I17</x:f>
        <x:v>425.92592592592587</x:v>
      </x:c>
      <x:c r="K17" s="18" t="n">
        <x:v>10460</x:v>
      </x:c>
      <x:c r="L17" s="20" t="n">
        <x:v>0.52</x:v>
      </x:c>
      <x:c r="M17" s="18" t="n">
        <x:f>IF(K17="","",K17*L17)</x:f>
        <x:v>5439.2</x:v>
      </x:c>
      <x:c r="N17" s="18" t="n">
        <x:f>IF(M17="","",M17/J17)</x:f>
        <x:v>12.770295652173914</x:v>
      </x:c>
      <x:c r="O17" s="14" t="n">
        <x:v>8.25</x:v>
      </x:c>
      <x:c r="P17" s="16" t="n">
        <x:f>B17/O17</x:f>
        <x:v>404.2424242424242</x:v>
      </x:c>
      <x:c r="Q17" s="18" t="n">
        <x:v>10460</x:v>
      </x:c>
      <x:c r="R17" s="20" t="n">
        <x:v>0.5</x:v>
      </x:c>
      <x:c r="S17" s="18" t="n">
        <x:f>IF(Q17="","",Q17*R17)</x:f>
        <x:v>5230</x:v>
      </x:c>
      <x:c r="T17" s="18" t="n">
        <x:f>IF(S17="","",S17/P17)</x:f>
        <x:v>12.937781109445279</x:v>
      </x:c>
    </x:row>
    <x:row r="18">
      <x:c r="A18" t="str">
        <x:v>Cusco - Juliaca</x:v>
      </x:c>
      <x:c r="B18" t="n">
        <x:v>3145.2499999999995</x:v>
      </x:c>
      <x:c r="C18" s="14" t="n">
        <x:v>7.87</x:v>
      </x:c>
      <x:c r="D18" s="16" t="n">
        <x:f>B18/C18</x:f>
        <x:v>399.6505717916137</x:v>
      </x:c>
      <x:c r="E18" s="18" t="n">
        <x:v>11500</x:v>
      </x:c>
      <x:c r="F18" s="20" t="n">
        <x:v>0.7</x:v>
      </x:c>
      <x:c r="G18" s="18" t="n">
        <x:f>IF(E18="","",E18*F18)</x:f>
        <x:v>8049.999999999999</x:v>
      </x:c>
      <x:c r="H18" s="18" t="n">
        <x:f>IF(G18="","",G18/D18)</x:f>
        <x:v>20.142595978062158</x:v>
      </x:c>
      <x:c r="I18" s="14" t="n">
        <x:v>7.83</x:v>
      </x:c>
      <x:c r="J18" s="16" t="n">
        <x:f>B18/I18</x:f>
        <x:v>401.6922094508301</x:v>
      </x:c>
      <x:c r="K18" s="18" t="n">
        <x:v>11500</x:v>
      </x:c>
      <x:c r="L18" s="20" t="n">
        <x:v>0.52</x:v>
      </x:c>
      <x:c r="M18" s="18" t="n">
        <x:f>IF(K18="","",K18*L18)</x:f>
        <x:v>5980</x:v>
      </x:c>
      <x:c r="N18" s="18" t="n">
        <x:f>IF(M18="","",M18/J18)</x:f>
        <x:v>14.887020109689216</x:v>
      </x:c>
      <x:c r="O18" s="14" t="n">
        <x:v>8.25</x:v>
      </x:c>
      <x:c r="P18" s="16" t="n">
        <x:f>B18/O18</x:f>
        <x:v>381.2424242424242</x:v>
      </x:c>
      <x:c r="Q18" s="18" t="n">
        <x:v>11500</x:v>
      </x:c>
      <x:c r="R18" s="20" t="n">
        <x:v>0.5</x:v>
      </x:c>
      <x:c r="S18" s="18" t="n">
        <x:f>IF(Q18="","",Q18*R18)</x:f>
        <x:v>5750</x:v>
      </x:c>
      <x:c r="T18" s="18" t="n">
        <x:f>IF(S18="","",S18/P18)</x:f>
        <x:v>15.082266910420477</x:v>
      </x:c>
    </x:row>
    <x:row r="19">
      <x:c r="A19" t="str">
        <x:v>Huancayo</x:v>
      </x:c>
      <x:c r="B19" t="n">
        <x:v>2070</x:v>
      </x:c>
      <x:c r="C19" s="14" t="n">
        <x:v>7.87</x:v>
      </x:c>
      <x:c r="D19" s="16" t="n">
        <x:f>B19/C19</x:f>
        <x:v>263.0241423125794</x:v>
      </x:c>
      <x:c r="E19" s="18" t="n">
        <x:v>2900</x:v>
      </x:c>
      <x:c r="F19" s="20" t="n">
        <x:v>0.55</x:v>
      </x:c>
      <x:c r="G19" s="18" t="n">
        <x:f>IF(E19="","",E19*F19)</x:f>
        <x:v>1595.0000000000002</x:v>
      </x:c>
      <x:c r="H19" s="18" t="n">
        <x:f>IF(G19="","",G19/D19)</x:f>
        <x:v>6.064082125603866</x:v>
      </x:c>
      <x:c r="I19" s="14" t="n">
        <x:v>7.83</x:v>
      </x:c>
      <x:c r="J19" s="16" t="n">
        <x:f>B19/I19</x:f>
        <x:v>264.367816091954</x:v>
      </x:c>
      <x:c r="K19" s="18" t="n">
        <x:v>2900</x:v>
      </x:c>
      <x:c r="L19" s="20" t="n">
        <x:v>0.52</x:v>
      </x:c>
      <x:c r="M19" s="18" t="n">
        <x:f>IF(K19="","",K19*L19)</x:f>
        <x:v>1508</x:v>
      </x:c>
      <x:c r="N19" s="18" t="n">
        <x:f>IF(M19="","",M19/J19)</x:f>
        <x:v>5.704173913043478</x:v>
      </x:c>
      <x:c r="O19" s="14" t="n">
        <x:v>8.25</x:v>
      </x:c>
      <x:c r="P19" s="16" t="n">
        <x:f>B19/O19</x:f>
        <x:v>250.9090909090909</x:v>
      </x:c>
      <x:c r="Q19" s="18" t="n">
        <x:v>2900</x:v>
      </x:c>
      <x:c r="R19" s="20" t="n">
        <x:v>0.5</x:v>
      </x:c>
      <x:c r="S19" s="18" t="n">
        <x:f>IF(Q19="","",Q19*R19)</x:f>
        <x:v>1450</x:v>
      </x:c>
      <x:c r="T19" s="18" t="n">
        <x:f>IF(S19="","",S19/P19)</x:f>
        <x:v>5.778985507246377</x:v>
      </x:c>
    </x:row>
    <x:row r="20">
      <x:c r="A20" t="str">
        <x:v>Huancayo - Huancavelica - Ayacucho</x:v>
      </x:c>
      <x:c r="B20" t="n">
        <x:v>1449</x:v>
      </x:c>
      <x:c r="C20" s="14" t="n">
        <x:v>7.87</x:v>
      </x:c>
      <x:c r="D20" s="16" t="n">
        <x:f>B20/C20</x:f>
        <x:v>184.11689961880558</x:v>
      </x:c>
      <x:c r="E20" s="18" t="n">
        <x:v>6900</x:v>
      </x:c>
      <x:c r="F20" s="20" t="n">
        <x:v>0.55</x:v>
      </x:c>
      <x:c r="G20" s="18" t="n">
        <x:f>IF(E20="","",E20*F20)</x:f>
        <x:v>3795.0000000000005</x:v>
      </x:c>
      <x:c r="H20" s="18" t="n">
        <x:f>IF(G20="","",G20/D20)</x:f>
        <x:v>20.611904761904768</x:v>
      </x:c>
      <x:c r="I20" s="14" t="n">
        <x:v>7.83</x:v>
      </x:c>
      <x:c r="J20" s="16" t="n">
        <x:f>B20/I20</x:f>
        <x:v>185.05747126436782</x:v>
      </x:c>
      <x:c r="K20" s="18" t="n">
        <x:v>6900</x:v>
      </x:c>
      <x:c r="L20" s="20" t="n">
        <x:v>0.52</x:v>
      </x:c>
      <x:c r="M20" s="18" t="n">
        <x:f>IF(K20="","",K20*L20)</x:f>
        <x:v>3588</x:v>
      </x:c>
      <x:c r="N20" s="18" t="n">
        <x:f>IF(M20="","",M20/J20)</x:f>
        <x:v>19.388571428571428</x:v>
      </x:c>
      <x:c r="O20" s="14" t="n">
        <x:v>8.25</x:v>
      </x:c>
      <x:c r="P20" s="16" t="n">
        <x:f>B20/O20</x:f>
        <x:v>175.63636363636363</x:v>
      </x:c>
      <x:c r="Q20" s="18" t="n">
        <x:v>6900</x:v>
      </x:c>
      <x:c r="R20" s="20" t="n">
        <x:v>0.5</x:v>
      </x:c>
      <x:c r="S20" s="18" t="n">
        <x:f>IF(Q20="","",Q20*R20)</x:f>
        <x:v>3450</x:v>
      </x:c>
      <x:c r="T20" s="18" t="n">
        <x:f>IF(S20="","",S20/P20)</x:f>
        <x:v>19.642857142857142</x:v>
      </x:c>
    </x:row>
    <x:row r="21">
      <x:c r="A21" t="str">
        <x:v>Huanuco - Pucallpa</x:v>
      </x:c>
      <x:c r="B21" t="n">
        <x:v>1897.4999999999998</x:v>
      </x:c>
      <x:c r="C21" s="14" t="n">
        <x:v>7.87</x:v>
      </x:c>
      <x:c r="D21" s="16" t="n">
        <x:f>B21/C21</x:f>
        <x:v>241.1054637865311</x:v>
      </x:c>
      <x:c r="E21" s="18" t="n">
        <x:v>7900</x:v>
      </x:c>
      <x:c r="F21" s="20" t="n">
        <x:v>0.5</x:v>
      </x:c>
      <x:c r="G21" s="18" t="n">
        <x:f>IF(E21="","",E21*F21)</x:f>
        <x:v>3950</x:v>
      </x:c>
      <x:c r="H21" s="18" t="n">
        <x:f>IF(G21="","",G21/D21)</x:f>
        <x:v>16.382872200263506</x:v>
      </x:c>
      <x:c r="I21" s="14" t="n">
        <x:v>7.83</x:v>
      </x:c>
      <x:c r="J21" s="16" t="n">
        <x:f>B21/I21</x:f>
        <x:v>242.3371647509578</x:v>
      </x:c>
      <x:c r="K21" s="18" t="n">
        <x:v>7900</x:v>
      </x:c>
      <x:c r="L21" s="20" t="n">
        <x:v>0.52</x:v>
      </x:c>
      <x:c r="M21" s="18" t="n">
        <x:f>IF(K21="","",K21*L21)</x:f>
        <x:v>4108</x:v>
      </x:c>
      <x:c r="N21" s="18" t="n">
        <x:f>IF(M21="","",M21/J21)</x:f>
        <x:v>16.951588932806327</x:v>
      </x:c>
      <x:c r="O21" s="14" t="n">
        <x:v>8.25</x:v>
      </x:c>
      <x:c r="P21" s="16" t="n">
        <x:f>B21/O21</x:f>
        <x:v>229.99999999999997</x:v>
      </x:c>
      <x:c r="Q21" s="18" t="n">
        <x:v>7900</x:v>
      </x:c>
      <x:c r="R21" s="20" t="n">
        <x:v>0.5</x:v>
      </x:c>
      <x:c r="S21" s="18" t="n">
        <x:f>IF(Q21="","",Q21*R21)</x:f>
        <x:v>3950</x:v>
      </x:c>
      <x:c r="T21" s="18" t="n">
        <x:f>IF(S21="","",S21/P21)</x:f>
        <x:v>17.17391304347826</x:v>
      </x:c>
    </x:row>
    <x:row r="22">
      <x:c r="A22" t="str">
        <x:v>Huanuco - Tingo Maria - Chanchamayo - Satipo</x:v>
      </x:c>
      <x:c r="B22" t="n">
        <x:v>1690.4999999999998</x:v>
      </x:c>
      <x:c r="C22" s="14" t="n">
        <x:v>7.87</x:v>
      </x:c>
      <x:c r="D22" s="16" t="n">
        <x:f>B22/C22</x:f>
        <x:v>214.80304955527316</x:v>
      </x:c>
      <x:c r="E22" s="18" t="n">
        <x:v>6500</x:v>
      </x:c>
      <x:c r="F22" s="20" t="n">
        <x:v>0.5</x:v>
      </x:c>
      <x:c r="G22" s="18" t="n">
        <x:f>IF(E22="","",E22*F22)</x:f>
        <x:v>3250</x:v>
      </x:c>
      <x:c r="H22" s="18" t="n">
        <x:f>IF(G22="","",G22/D22)</x:f>
        <x:v>15.130139012126591</x:v>
      </x:c>
      <x:c r="I22" s="14" t="n">
        <x:v>7.83</x:v>
      </x:c>
      <x:c r="J22" s="16" t="n">
        <x:f>B22/I22</x:f>
        <x:v>215.90038314176243</x:v>
      </x:c>
      <x:c r="K22" s="18" t="n">
        <x:v>6500</x:v>
      </x:c>
      <x:c r="L22" s="20" t="n">
        <x:v>0.52</x:v>
      </x:c>
      <x:c r="M22" s="18" t="n">
        <x:f>IF(K22="","",K22*L22)</x:f>
        <x:v>3380</x:v>
      </x:c>
      <x:c r="N22" s="18" t="n">
        <x:f>IF(M22="","",M22/J22)</x:f>
        <x:v>15.655368234250224</x:v>
      </x:c>
      <x:c r="O22" s="14" t="n">
        <x:v>8.25</x:v>
      </x:c>
      <x:c r="P22" s="16" t="n">
        <x:f>B22/O22</x:f>
        <x:v>204.90909090909088</x:v>
      </x:c>
      <x:c r="Q22" s="18" t="n">
        <x:v>6500</x:v>
      </x:c>
      <x:c r="R22" s="20" t="n">
        <x:v>0.5</x:v>
      </x:c>
      <x:c r="S22" s="18" t="n">
        <x:f>IF(Q22="","",Q22*R22)</x:f>
        <x:v>3250</x:v>
      </x:c>
      <x:c r="T22" s="18" t="n">
        <x:f>IF(S22="","",S22/P22)</x:f>
        <x:v>15.86069210292813</x:v>
      </x:c>
    </x:row>
    <x:row r="23">
      <x:c r="A23" t="str">
        <x:v>Huanuco - Tingo Maria - Pucallpa</x:v>
      </x:c>
      <x:c r="B23" t="n">
        <x:v>1897.4999999999998</x:v>
      </x:c>
      <x:c r="C23" s="14" t="n">
        <x:v>7.87</x:v>
      </x:c>
      <x:c r="D23" s="16" t="n">
        <x:f>B23/C23</x:f>
        <x:v>241.1054637865311</x:v>
      </x:c>
      <x:c r="E23" s="18" t="n">
        <x:v>7900</x:v>
      </x:c>
      <x:c r="F23" s="20" t="n">
        <x:v>0.5</x:v>
      </x:c>
      <x:c r="G23" s="18" t="n">
        <x:f>IF(E23="","",E23*F23)</x:f>
        <x:v>3950</x:v>
      </x:c>
      <x:c r="H23" s="18" t="n">
        <x:f>IF(G23="","",G23/D23)</x:f>
        <x:v>16.382872200263506</x:v>
      </x:c>
      <x:c r="I23" s="14" t="n">
        <x:v>7.83</x:v>
      </x:c>
      <x:c r="J23" s="16" t="n">
        <x:f>B23/I23</x:f>
        <x:v>242.3371647509578</x:v>
      </x:c>
      <x:c r="K23" s="18" t="n">
        <x:v>7900</x:v>
      </x:c>
      <x:c r="L23" s="20" t="n">
        <x:v>0.52</x:v>
      </x:c>
      <x:c r="M23" s="18" t="n">
        <x:f>IF(K23="","",K23*L23)</x:f>
        <x:v>4108</x:v>
      </x:c>
      <x:c r="N23" s="18" t="n">
        <x:f>IF(M23="","",M23/J23)</x:f>
        <x:v>16.951588932806327</x:v>
      </x:c>
      <x:c r="O23" s="14" t="n">
        <x:v>8.25</x:v>
      </x:c>
      <x:c r="P23" s="16" t="n">
        <x:f>B23/O23</x:f>
        <x:v>229.99999999999997</x:v>
      </x:c>
      <x:c r="Q23" s="18" t="n">
        <x:v>7900</x:v>
      </x:c>
      <x:c r="R23" s="20" t="n">
        <x:v>0.5</x:v>
      </x:c>
      <x:c r="S23" s="18" t="n">
        <x:f>IF(Q23="","",Q23*R23)</x:f>
        <x:v>3950</x:v>
      </x:c>
      <x:c r="T23" s="18" t="n">
        <x:f>IF(S23="","",S23/P23)</x:f>
        <x:v>17.17391304347826</x:v>
      </x:c>
    </x:row>
    <x:row r="24">
      <x:c r="A24" t="str">
        <x:v>Jaen</x:v>
      </x:c>
      <x:c r="B24" t="n">
        <x:v>2484</x:v>
      </x:c>
      <x:c r="C24" s="14" t="n">
        <x:v>7.87</x:v>
      </x:c>
      <x:c r="D24" s="16" t="n">
        <x:f>B24/C24</x:f>
        <x:v>315.6289707750953</x:v>
      </x:c>
      <x:c r="E24" s="18" t="n">
        <x:v>10200</x:v>
      </x:c>
      <x:c r="F24" s="20" t="n">
        <x:v>0.6</x:v>
      </x:c>
      <x:c r="G24" s="18" t="n">
        <x:f>IF(E24="","",E24*F24)</x:f>
        <x:v>6120</x:v>
      </x:c>
      <x:c r="H24" s="18" t="n">
        <x:f>IF(G24="","",G24/D24)</x:f>
        <x:v>19.389855072463767</x:v>
      </x:c>
      <x:c r="I24" s="14" t="n">
        <x:v>7.83</x:v>
      </x:c>
      <x:c r="J24" s="16" t="n">
        <x:f>B24/I24</x:f>
        <x:v>317.2413793103448</x:v>
      </x:c>
      <x:c r="K24" s="18" t="n">
        <x:v>13000</x:v>
      </x:c>
      <x:c r="L24" s="20" t="n">
        <x:v>0.52</x:v>
      </x:c>
      <x:c r="M24" s="18" t="n">
        <x:f>IF(K24="","",K24*L24)</x:f>
        <x:v>6760</x:v>
      </x:c>
      <x:c r="N24" s="18" t="n">
        <x:f>IF(M24="","",M24/J24)</x:f>
        <x:v>21.308695652173913</x:v>
      </x:c>
      <x:c r="O24" s="14" t="n">
        <x:v>8.25</x:v>
      </x:c>
      <x:c r="P24" s="16" t="n">
        <x:f>B24/O24</x:f>
        <x:v>301.09090909090907</x:v>
      </x:c>
      <x:c r="Q24" s="18" t="n">
        <x:v>13000</x:v>
      </x:c>
      <x:c r="R24" s="20" t="n">
        <x:v>0.5</x:v>
      </x:c>
      <x:c r="S24" s="18" t="n">
        <x:f>IF(Q24="","",Q24*R24)</x:f>
        <x:v>6500</x:v>
      </x:c>
      <x:c r="T24" s="18" t="n">
        <x:f>IF(S24="","",S24/P24)</x:f>
        <x:v>21.588164251207733</x:v>
      </x:c>
    </x:row>
    <x:row r="25">
      <x:c r="A25" t="str">
        <x:v>Mazuko</x:v>
      </x:c>
      <x:c r="B25" t="n">
        <x:v>3564.9999999999995</x:v>
      </x:c>
      <x:c r="C25" s="14" t="n">
        <x:v>7.87</x:v>
      </x:c>
      <x:c r="D25" s="16" t="n">
        <x:f>B25/C25</x:f>
        <x:v>452.9860228716645</x:v>
      </x:c>
      <x:c r="E25" s="18" t="n">
        <x:v>14159</x:v>
      </x:c>
      <x:c r="F25" s="20" t="n">
        <x:v>0.5</x:v>
      </x:c>
      <x:c r="G25" s="18" t="n">
        <x:f>IF(E25="","",E25*F25)</x:f>
        <x:v>7079.5</x:v>
      </x:c>
      <x:c r="H25" s="18" t="n">
        <x:f>IF(G25="","",G25/D25)</x:f>
        <x:v>15.628517531556804</x:v>
      </x:c>
      <x:c r="I25" s="14" t="n">
        <x:v>7.83</x:v>
      </x:c>
      <x:c r="J25" s="16" t="n">
        <x:f>B25/I25</x:f>
        <x:v>455.30012771392074</x:v>
      </x:c>
      <x:c r="K25" s="18" t="n">
        <x:v>14159</x:v>
      </x:c>
      <x:c r="L25" s="20" t="n">
        <x:v>0.52</x:v>
      </x:c>
      <x:c r="M25" s="18" t="n">
        <x:f>IF(K25="","",K25*L25)</x:f>
        <x:v>7362.68</x:v>
      </x:c>
      <x:c r="N25" s="18" t="n">
        <x:f>IF(M25="","",M25/J25)</x:f>
        <x:v>16.17104751753156</x:v>
      </x:c>
      <x:c r="O25" s="14" t="n">
        <x:v>8.25</x:v>
      </x:c>
      <x:c r="P25" s="16" t="n">
        <x:f>B25/O25</x:f>
        <x:v>432.12121212121207</x:v>
      </x:c>
      <x:c r="Q25" s="18" t="n">
        <x:v>14159</x:v>
      </x:c>
      <x:c r="R25" s="20" t="n">
        <x:v>0.5</x:v>
      </x:c>
      <x:c r="S25" s="18" t="n">
        <x:f>IF(Q25="","",Q25*R25)</x:f>
        <x:v>7079.5</x:v>
      </x:c>
      <x:c r="T25" s="18" t="n">
        <x:f>IF(S25="","",S25/P25)</x:f>
        <x:v>16.383134642356243</x:v>
      </x:c>
    </x:row>
    <x:row r="26">
      <x:c r="A26" t="str">
        <x:v>Motupe</x:v>
      </x:c>
      <x:c r="B26" t="n">
        <x:v>1966.4999999999998</x:v>
      </x:c>
      <x:c r="C26" s="14" t="n">
        <x:v>7.87</x:v>
      </x:c>
      <x:c r="D26" s="16" t="n">
        <x:f>B26/C26</x:f>
        <x:v>249.8729351969504</x:v>
      </x:c>
      <x:c r="E26" s="18" t="n">
        <x:v>6214</x:v>
      </x:c>
      <x:c r="F26" s="20" t="n">
        <x:v>0.6</x:v>
      </x:c>
      <x:c r="G26" s="18" t="n">
        <x:f>IF(E26="","",E26*F26)</x:f>
        <x:v>3728.3999999999996</x:v>
      </x:c>
      <x:c r="H26" s="18" t="n">
        <x:f>IF(G26="","",G26/D26)</x:f>
        <x:v>14.921183829138064</x:v>
      </x:c>
      <x:c r="I26" s="14" t="n">
        <x:v>7.83</x:v>
      </x:c>
      <x:c r="J26" s="16" t="n">
        <x:f>B26/I26</x:f>
        <x:v>251.14942528735628</x:v>
      </x:c>
      <x:c r="K26" s="18" t="n">
        <x:v>6214</x:v>
      </x:c>
      <x:c r="L26" s="20" t="n">
        <x:v>0.52</x:v>
      </x:c>
      <x:c r="M26" s="18" t="n">
        <x:f>IF(K26="","",K26*L26)</x:f>
        <x:v>3231.28</x:v>
      </x:c>
      <x:c r="N26" s="18" t="n">
        <x:f>IF(M26="","",M26/J26)</x:f>
        <x:v>12.865966132723115</x:v>
      </x:c>
      <x:c r="O26" s="14" t="n">
        <x:v>8.25</x:v>
      </x:c>
      <x:c r="P26" s="16" t="n">
        <x:f>B26/O26</x:f>
        <x:v>238.36363636363635</x:v>
      </x:c>
      <x:c r="Q26" s="18" t="n">
        <x:v>6214</x:v>
      </x:c>
      <x:c r="R26" s="20" t="n">
        <x:v>0.5</x:v>
      </x:c>
      <x:c r="S26" s="18" t="n">
        <x:f>IF(Q26="","",Q26*R26)</x:f>
        <x:v>3107</x:v>
      </x:c>
      <x:c r="T26" s="18" t="n">
        <x:f>IF(S26="","",S26/P26)</x:f>
        <x:v>13.034706331045005</x:v>
      </x:c>
    </x:row>
    <x:row r="27">
      <x:c r="A27" t="str">
        <x:v>Piura</x:v>
      </x:c>
      <x:c r="B27" t="n">
        <x:v>2231</x:v>
      </x:c>
      <x:c r="C27" s="14" t="n">
        <x:v>7.87</x:v>
      </x:c>
      <x:c r="D27" s="16" t="n">
        <x:f>B27/C27</x:f>
        <x:v>283.4815756035578</x:v>
      </x:c>
      <x:c r="E27" s="18" t="n">
        <x:v>8110</x:v>
      </x:c>
      <x:c r="F27" s="20" t="n">
        <x:v>0.55</x:v>
      </x:c>
      <x:c r="G27" s="18" t="n">
        <x:f>IF(E27="","",E27*F27)</x:f>
        <x:v>4460.5</x:v>
      </x:c>
      <x:c r="H27" s="18" t="n">
        <x:f>IF(G27="","",G27/D27)</x:f>
        <x:v>15.734708650829225</x:v>
      </x:c>
      <x:c r="I27" s="14" t="n">
        <x:v>7.83</x:v>
      </x:c>
      <x:c r="J27" s="16" t="n">
        <x:f>B27/I27</x:f>
        <x:v>284.9297573435504</x:v>
      </x:c>
      <x:c r="K27" s="18" t="n">
        <x:v>8110</x:v>
      </x:c>
      <x:c r="L27" s="20" t="n">
        <x:v>0.52</x:v>
      </x:c>
      <x:c r="M27" s="18" t="n">
        <x:f>IF(K27="","",K27*L27)</x:f>
        <x:v>4217.2</x:v>
      </x:c>
      <x:c r="N27" s="18" t="n">
        <x:f>IF(M27="","",M27/J27)</x:f>
        <x:v>14.800840878529808</x:v>
      </x:c>
      <x:c r="O27" s="14" t="n">
        <x:v>8.25</x:v>
      </x:c>
      <x:c r="P27" s="16" t="n">
        <x:f>B27/O27</x:f>
        <x:v>270.42424242424244</x:v>
      </x:c>
      <x:c r="Q27" s="18" t="n">
        <x:v>8110</x:v>
      </x:c>
      <x:c r="R27" s="20" t="n">
        <x:v>0.5</x:v>
      </x:c>
      <x:c r="S27" s="18" t="n">
        <x:f>IF(Q27="","",Q27*R27)</x:f>
        <x:v>4055</x:v>
      </x:c>
      <x:c r="T27" s="18" t="n">
        <x:f>IF(S27="","",S27/P27)</x:f>
        <x:v>14.994957418198117</x:v>
      </x:c>
    </x:row>
    <x:row r="28">
      <x:c r="A28" t="str">
        <x:v>Pucallpa</x:v>
      </x:c>
      <x:c r="B28" t="n">
        <x:v>1747.9999999999998</x:v>
      </x:c>
      <x:c r="C28" s="14" t="n">
        <x:v>7.87</x:v>
      </x:c>
      <x:c r="D28" s="16" t="n">
        <x:f>B28/C28</x:f>
        <x:v>222.10927573062258</x:v>
      </x:c>
      <x:c r="E28" s="18" t="n">
        <x:v>7900</x:v>
      </x:c>
      <x:c r="F28" s="20" t="n">
        <x:v>0.5</x:v>
      </x:c>
      <x:c r="G28" s="18" t="n">
        <x:f>IF(E28="","",E28*F28)</x:f>
        <x:v>3950</x:v>
      </x:c>
      <x:c r="H28" s="18" t="n">
        <x:f>IF(G28="","",G28/D28)</x:f>
        <x:v>17.784038901601832</x:v>
      </x:c>
      <x:c r="I28" s="14" t="n">
        <x:v>7.83</x:v>
      </x:c>
      <x:c r="J28" s="16" t="n">
        <x:f>B28/I28</x:f>
        <x:v>223.24393358876114</x:v>
      </x:c>
      <x:c r="K28" s="18" t="n">
        <x:v>7900</x:v>
      </x:c>
      <x:c r="L28" s="20" t="n">
        <x:v>0.52</x:v>
      </x:c>
      <x:c r="M28" s="18" t="n">
        <x:f>IF(K28="","",K28*L28)</x:f>
        <x:v>4108</x:v>
      </x:c>
      <x:c r="N28" s="18" t="n">
        <x:f>IF(M28="","",M28/J28)</x:f>
        <x:v>18.401395881006867</x:v>
      </x:c>
      <x:c r="O28" s="14" t="n">
        <x:v>8.25</x:v>
      </x:c>
      <x:c r="P28" s="16" t="n">
        <x:f>B28/O28</x:f>
        <x:v>211.87878787878785</x:v>
      </x:c>
      <x:c r="Q28" s="18" t="n">
        <x:v>7900</x:v>
      </x:c>
      <x:c r="R28" s="20" t="n">
        <x:v>0.5</x:v>
      </x:c>
      <x:c r="S28" s="18" t="n">
        <x:f>IF(Q28="","",Q28*R28)</x:f>
        <x:v>3950</x:v>
      </x:c>
      <x:c r="T28" s="18" t="n">
        <x:f>IF(S28="","",S28/P28)</x:f>
        <x:v>18.642734553775746</x:v>
      </x:c>
    </x:row>
    <x:row r="29">
      <x:c r="A29" t="str">
        <x:v>Trujillo</x:v>
      </x:c>
      <x:c r="B29" t="n">
        <x:v>1288</x:v>
      </x:c>
      <x:c r="C29" s="14" t="n">
        <x:v>7.87</x:v>
      </x:c>
      <x:c r="D29" s="16" t="n">
        <x:f>B29/C29</x:f>
        <x:v>163.6594663278272</x:v>
      </x:c>
      <x:c r="E29" s="18" t="n">
        <x:v>4500</x:v>
      </x:c>
      <x:c r="F29" s="20" t="n">
        <x:v>0.7</x:v>
      </x:c>
      <x:c r="G29" s="18" t="n">
        <x:f>IF(E29="","",E29*F29)</x:f>
        <x:v>3150</x:v>
      </x:c>
      <x:c r="H29" s="18" t="n">
        <x:f>IF(G29="","",G29/D29)</x:f>
        <x:v>19.247282608695652</x:v>
      </x:c>
      <x:c r="I29" s="14" t="n">
        <x:v>7.83</x:v>
      </x:c>
      <x:c r="J29" s="16" t="n">
        <x:f>B29/I29</x:f>
        <x:v>164.49553001277138</x:v>
      </x:c>
      <x:c r="K29" s="18" t="n">
        <x:v>3500</x:v>
      </x:c>
      <x:c r="L29" s="20" t="n">
        <x:v>0.52</x:v>
      </x:c>
      <x:c r="M29" s="18" t="n">
        <x:f>IF(K29="","",K29*L29)</x:f>
        <x:v>1820</x:v>
      </x:c>
      <x:c r="N29" s="18" t="n">
        <x:f>IF(M29="","",M29/J29)</x:f>
        <x:v>11.064130434782609</x:v>
      </x:c>
      <x:c r="O29" s="14" t="n">
        <x:v>8.25</x:v>
      </x:c>
      <x:c r="P29" s="16" t="n">
        <x:f>B29/O29</x:f>
        <x:v>156.12121212121212</x:v>
      </x:c>
      <x:c r="Q29" s="18" t="n">
        <x:v>3500</x:v>
      </x:c>
      <x:c r="R29" s="20" t="n">
        <x:v>0.5</x:v>
      </x:c>
      <x:c r="S29" s="18" t="n">
        <x:f>IF(Q29="","",Q29*R29)</x:f>
        <x:v>1750</x:v>
      </x:c>
      <x:c r="T29" s="18" t="n">
        <x:f>IF(S29="","",S29/P29)</x:f>
        <x:v>11.209239130434783</x:v>
      </x:c>
    </x:row>
    <x:row r="30">
      <x:c r="A30" t="str">
        <x:v>Trujillo - Chiclayo</x:v>
      </x:c>
      <x:c r="B30" t="n">
        <x:v>1839.9999999999998</x:v>
      </x:c>
      <x:c r="C30" s="14" t="n">
        <x:v>7.87</x:v>
      </x:c>
      <x:c r="D30" s="16" t="n">
        <x:f>B30/C30</x:f>
        <x:v>233.79923761118167</x:v>
      </x:c>
      <x:c r="E30" s="18" t="n">
        <x:v>6185</x:v>
      </x:c>
      <x:c r="F30" s="20" t="n">
        <x:v>0.7</x:v>
      </x:c>
      <x:c r="G30" s="18" t="n">
        <x:f>IF(E30="","",E30*F30)</x:f>
        <x:v>4329.5</x:v>
      </x:c>
      <x:c r="H30" s="18" t="n">
        <x:f>IF(G30="","",G30/D30)</x:f>
        <x:v>18.518024456521744</x:v>
      </x:c>
      <x:c r="I30" s="14" t="n">
        <x:v>7.83</x:v>
      </x:c>
      <x:c r="J30" s="16" t="n">
        <x:f>B30/I30</x:f>
        <x:v>234.9936143039591</x:v>
      </x:c>
      <x:c r="K30" s="18" t="n">
        <x:v>6185</x:v>
      </x:c>
      <x:c r="L30" s="20" t="n">
        <x:v>0.52</x:v>
      </x:c>
      <x:c r="M30" s="18" t="n">
        <x:f>IF(K30="","",K30*L30)</x:f>
        <x:v>3216.2000000000003</x:v>
      </x:c>
      <x:c r="N30" s="18" t="n">
        <x:f>IF(M30="","",M30/J30)</x:f>
        <x:v>13.68632934782609</x:v>
      </x:c>
      <x:c r="O30" s="14" t="n">
        <x:v>8.25</x:v>
      </x:c>
      <x:c r="P30" s="16" t="n">
        <x:f>B30/O30</x:f>
        <x:v>223.030303030303</x:v>
      </x:c>
      <x:c r="Q30" s="18" t="n">
        <x:v>6185</x:v>
      </x:c>
      <x:c r="R30" s="20" t="n">
        <x:v>0.5</x:v>
      </x:c>
      <x:c r="S30" s="18" t="n">
        <x:f>IF(Q30="","",Q30*R30)</x:f>
        <x:v>3092.5</x:v>
      </x:c>
      <x:c r="T30" s="18" t="n">
        <x:f>IF(S30="","",S30/P30)</x:f>
        <x:v>13.865828804347828</x:v>
      </x:c>
    </x:row>
  </x:sheetData>
  <x:mergeCells>
    <x:mergeCell ref="A1:T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10" t="str">
        <x:v>S/gal actualizado — Actual desde Abr-2026 — rendimiento por proveedor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</x:row>
    <x:row r="3">
      <x:c r="A3" s="4" t="str">
        <x:v>Ruta</x:v>
      </x:c>
      <x:c r="B3" s="4" t="str">
        <x:v>Km final</x:v>
      </x:c>
      <x:c r="C3" s="4" t="str">
        <x:v>Rend HECARO</x:v>
      </x:c>
      <x:c r="D3" s="4" t="str">
        <x:v>Gal HECARO</x:v>
      </x:c>
      <x:c r="E3" s="4" t="str">
        <x:v>Tarifa HECARO</x:v>
      </x:c>
      <x:c r="F3" s="4" t="str">
        <x:v>% Comb HECARO</x:v>
      </x:c>
      <x:c r="G3" s="4" t="str">
        <x:v>S/ Comb HECARO</x:v>
      </x:c>
      <x:c r="H3" s="4" t="str">
        <x:v>S/gal HECARO</x:v>
      </x:c>
      <x:c r="I3" s="4" t="str">
        <x:v>Rend LMG</x:v>
      </x:c>
      <x:c r="J3" s="4" t="str">
        <x:v>Gal LMG</x:v>
      </x:c>
      <x:c r="K3" s="4" t="str">
        <x:v>Tarifa LMG</x:v>
      </x:c>
      <x:c r="L3" s="4" t="str">
        <x:v>% Comb LMG</x:v>
      </x:c>
      <x:c r="M3" s="4" t="str">
        <x:v>S/ Comb LMG</x:v>
      </x:c>
      <x:c r="N3" s="4" t="str">
        <x:v>S/gal LMG</x:v>
      </x:c>
      <x:c r="O3" s="4" t="str">
        <x:v>Rend QOLPARO</x:v>
      </x:c>
      <x:c r="P3" s="4" t="str">
        <x:v>Gal QOLPARO</x:v>
      </x:c>
      <x:c r="Q3" s="4" t="str">
        <x:v>Tarifa QOLPARO</x:v>
      </x:c>
      <x:c r="R3" s="4" t="str">
        <x:v>% Comb QOLPARO</x:v>
      </x:c>
      <x:c r="S3" s="4" t="str">
        <x:v>S/ Comb QOLPARO</x:v>
      </x:c>
      <x:c r="T3" s="4" t="str">
        <x:v>S/gal QOLPARO</x:v>
      </x:c>
    </x:row>
    <x:row r="4">
      <x:c r="A4" t="str">
        <x:v>Mazuko</x:v>
      </x:c>
      <x:c r="B4" t="n">
        <x:v>3564.9999999999995</x:v>
      </x:c>
      <x:c r="C4" s="14" t="n">
        <x:v>7.87</x:v>
      </x:c>
      <x:c r="D4" s="16" t="n">
        <x:f>B4/C4</x:f>
        <x:v>452.9860228716645</x:v>
      </x:c>
      <x:c r="E4" s="18" t="n">
        <x:v>17415.57</x:v>
      </x:c>
      <x:c r="F4" s="20" t="n">
        <x:v>0.5</x:v>
      </x:c>
      <x:c r="G4" s="18" t="n">
        <x:f>IF(E4="","",E4*F4)</x:f>
        <x:v>8707.785</x:v>
      </x:c>
      <x:c r="H4" s="18" t="n">
        <x:f>IF(G4="","",G4/D4)</x:f>
        <x:v>19.223076563814868</x:v>
      </x:c>
      <x:c r="I4" s="14" t="n">
        <x:v>7.83</x:v>
      </x:c>
      <x:c r="J4" s="16" t="n">
        <x:f>B4/I4</x:f>
        <x:v>455.30012771392074</x:v>
      </x:c>
      <x:c r="K4" s="18" t="n">
        <x:v>16500</x:v>
      </x:c>
      <x:c r="L4" s="20" t="n">
        <x:v>0.52</x:v>
      </x:c>
      <x:c r="M4" s="18" t="n">
        <x:f>IF(K4="","",K4*L4)</x:f>
        <x:v>8580</x:v>
      </x:c>
      <x:c r="N4" s="18" t="n">
        <x:f>IF(M4="","",M4/J4)</x:f>
        <x:v>18.844712482468445</x:v>
      </x:c>
      <x:c r="O4" s="14" t="n">
        <x:v>8.25</x:v>
      </x:c>
      <x:c r="P4" s="16" t="n">
        <x:f>B4/O4</x:f>
        <x:v>432.12121212121207</x:v>
      </x:c>
      <x:c r="Q4" s="18"/>
      <x:c r="R4" s="20" t="n">
        <x:v>0.5</x:v>
      </x:c>
      <x:c r="S4" s="18" t="str">
        <x:f>IF(Q4="","",Q4*R4)</x:f>
      </x:c>
      <x:c r="T4" s="18" t="str">
        <x:f>IF(S4="","",S4/P4)</x:f>
      </x:c>
    </x:row>
    <x:row r="5">
      <x:c r="A5" t="str">
        <x:v>Ancash - Chimbote</x:v>
      </x:c>
      <x:c r="B5" t="n">
        <x:v>1460.5</x:v>
      </x:c>
      <x:c r="C5" s="14" t="n">
        <x:v>7.87</x:v>
      </x:c>
      <x:c r="D5" s="16" t="n">
        <x:f>B5/C5</x:f>
        <x:v>185.57814485387547</x:v>
      </x:c>
      <x:c r="E5" s="18" t="n">
        <x:v>6718.95</x:v>
      </x:c>
      <x:c r="F5" s="20" t="n">
        <x:v>0.6</x:v>
      </x:c>
      <x:c r="G5" s="18" t="n">
        <x:f>IF(E5="","",E5*F5)</x:f>
        <x:v>4031.37</x:v>
      </x:c>
      <x:c r="H5" s="18" t="n">
        <x:f>IF(G5="","",G5/D5)</x:f>
        <x:v>21.723301540568297</x:v>
      </x:c>
      <x:c r="I5" s="14" t="n">
        <x:v>7.83</x:v>
      </x:c>
      <x:c r="J5" s="16" t="n">
        <x:f>B5/I5</x:f>
        <x:v>186.52618135376756</x:v>
      </x:c>
      <x:c r="K5" s="18"/>
      <x:c r="L5" s="20" t="n">
        <x:v>0.52</x:v>
      </x:c>
      <x:c r="M5" s="18" t="str">
        <x:f>IF(K5="","",K5*L5)</x:f>
      </x:c>
      <x:c r="N5" s="18" t="str">
        <x:f>IF(M5="","",M5/J5)</x:f>
      </x:c>
      <x:c r="O5" s="14" t="n">
        <x:v>8.25</x:v>
      </x:c>
      <x:c r="P5" s="16" t="n">
        <x:f>B5/O5</x:f>
        <x:v>177.03030303030303</x:v>
      </x:c>
      <x:c r="Q5" s="18" t="n">
        <x:v>12000</x:v>
      </x:c>
      <x:c r="R5" s="20" t="n">
        <x:v>0.5</x:v>
      </x:c>
      <x:c r="S5" s="18" t="n">
        <x:f>IF(Q5="","",Q5*R5)</x:f>
        <x:v>6000</x:v>
      </x:c>
      <x:c r="T5" s="18" t="n">
        <x:f>IF(S5="","",S5/P5)</x:f>
        <x:v>33.89250256761383</x:v>
      </x:c>
    </x:row>
    <x:row r="6">
      <x:c r="A6" t="str">
        <x:v>Arequipa</x:v>
      </x:c>
      <x:c r="B6" t="n">
        <x:v>2346</x:v>
      </x:c>
      <x:c r="C6" s="14" t="n">
        <x:v>7.87</x:v>
      </x:c>
      <x:c r="D6" s="16" t="n">
        <x:f>B6/C6</x:f>
        <x:v>298.09402795425666</x:v>
      </x:c>
      <x:c r="E6" s="18"/>
      <x:c r="F6" s="20" t="n">
        <x:v>0.65</x:v>
      </x:c>
      <x:c r="G6" s="18" t="str">
        <x:f>IF(E6="","",E6*F6)</x:f>
      </x:c>
      <x:c r="H6" s="18" t="str">
        <x:f>IF(G6="","",G6/D6)</x:f>
      </x:c>
      <x:c r="I6" s="14" t="n">
        <x:v>7.83</x:v>
      </x:c>
      <x:c r="J6" s="16" t="n">
        <x:f>B6/I6</x:f>
        <x:v>299.6168582375479</x:v>
      </x:c>
      <x:c r="K6" s="18" t="n">
        <x:v>10750</x:v>
      </x:c>
      <x:c r="L6" s="20" t="n">
        <x:v>0.52</x:v>
      </x:c>
      <x:c r="M6" s="18" t="n">
        <x:f>IF(K6="","",K6*L6)</x:f>
        <x:v>5590</x:v>
      </x:c>
      <x:c r="N6" s="18" t="n">
        <x:f>IF(M6="","",M6/J6)</x:f>
        <x:v>18.657161125319693</x:v>
      </x:c>
      <x:c r="O6" s="14" t="n">
        <x:v>8.25</x:v>
      </x:c>
      <x:c r="P6" s="16" t="n">
        <x:f>B6/O6</x:f>
        <x:v>284.3636363636364</x:v>
      </x:c>
      <x:c r="Q6" s="18" t="n">
        <x:v>10000</x:v>
      </x:c>
      <x:c r="R6" s="20" t="n">
        <x:v>0.5</x:v>
      </x:c>
      <x:c r="S6" s="18" t="n">
        <x:f>IF(Q6="","",Q6*R6)</x:f>
        <x:v>5000</x:v>
      </x:c>
      <x:c r="T6" s="18" t="n">
        <x:f>IF(S6="","",S6/P6)</x:f>
        <x:v>17.58312020460358</x:v>
      </x:c>
    </x:row>
    <x:row r="7">
      <x:c r="A7" t="str">
        <x:v>Arequipa - Cusco</x:v>
      </x:c>
      <x:c r="B7" t="n">
        <x:v>3518.9999999999995</x:v>
      </x:c>
      <x:c r="C7" s="14" t="n">
        <x:v>7.87</x:v>
      </x:c>
      <x:c r="D7" s="16" t="n">
        <x:f>B7/C7</x:f>
        <x:v>447.14104193138496</x:v>
      </x:c>
      <x:c r="E7" s="18" t="n">
        <x:v>14145</x:v>
      </x:c>
      <x:c r="F7" s="20" t="n">
        <x:v>0.7</x:v>
      </x:c>
      <x:c r="G7" s="18" t="n">
        <x:f>IF(E7="","",E7*F7)</x:f>
        <x:v>9901.5</x:v>
      </x:c>
      <x:c r="H7" s="18" t="n">
        <x:f>IF(G7="","",G7/D7)</x:f>
        <x:v>22.144019607843138</x:v>
      </x:c>
      <x:c r="I7" s="14" t="n">
        <x:v>7.83</x:v>
      </x:c>
      <x:c r="J7" s="16" t="n">
        <x:f>B7/I7</x:f>
        <x:v>449.4252873563218</x:v>
      </x:c>
      <x:c r="K7" s="18" t="n">
        <x:v>14145</x:v>
      </x:c>
      <x:c r="L7" s="20" t="n">
        <x:v>0.52</x:v>
      </x:c>
      <x:c r="M7" s="18" t="n">
        <x:f>IF(K7="","",K7*L7)</x:f>
        <x:v>7355.400000000001</x:v>
      </x:c>
      <x:c r="N7" s="18" t="n">
        <x:f>IF(M7="","",M7/J7)</x:f>
        <x:v>16.36623529411765</x:v>
      </x:c>
      <x:c r="O7" s="14" t="n">
        <x:v>8.25</x:v>
      </x:c>
      <x:c r="P7" s="16" t="n">
        <x:f>B7/O7</x:f>
        <x:v>426.5454545454545</x:v>
      </x:c>
      <x:c r="Q7" s="18" t="n">
        <x:v>13000</x:v>
      </x:c>
      <x:c r="R7" s="20" t="n">
        <x:v>0.5</x:v>
      </x:c>
      <x:c r="S7" s="18" t="n">
        <x:f>IF(Q7="","",Q7*R7)</x:f>
        <x:v>6500</x:v>
      </x:c>
      <x:c r="T7" s="18" t="n">
        <x:f>IF(S7="","",S7/P7)</x:f>
        <x:v>15.238704177323104</x:v>
      </x:c>
    </x:row>
    <x:row r="8">
      <x:c r="A8" t="str">
        <x:v>Arequipa - Juliaca</x:v>
      </x:c>
      <x:c r="B8" t="n">
        <x:v>4738</x:v>
      </x:c>
      <x:c r="C8" s="14" t="n">
        <x:v>7.87</x:v>
      </x:c>
      <x:c r="D8" s="16" t="n">
        <x:f>B8/C8</x:f>
        <x:v>602.0330368487929</x:v>
      </x:c>
      <x:c r="E8" s="18" t="n">
        <x:v>14145</x:v>
      </x:c>
      <x:c r="F8" s="20" t="n">
        <x:v>0.7</x:v>
      </x:c>
      <x:c r="G8" s="18" t="n">
        <x:f>IF(E8="","",E8*F8)</x:f>
        <x:v>9901.5</x:v>
      </x:c>
      <x:c r="H8" s="18" t="n">
        <x:f>IF(G8="","",G8/D8)</x:f>
        <x:v>16.446771844660194</x:v>
      </x:c>
      <x:c r="I8" s="14" t="n">
        <x:v>7.83</x:v>
      </x:c>
      <x:c r="J8" s="16" t="n">
        <x:f>B8/I8</x:f>
        <x:v>605.1085568326947</x:v>
      </x:c>
      <x:c r="K8" s="18" t="n">
        <x:v>14145</x:v>
      </x:c>
      <x:c r="L8" s="20" t="n">
        <x:v>0.52</x:v>
      </x:c>
      <x:c r="M8" s="18" t="n">
        <x:f>IF(K8="","",K8*L8)</x:f>
        <x:v>7355.400000000001</x:v>
      </x:c>
      <x:c r="N8" s="18" t="n">
        <x:f>IF(M8="","",M8/J8)</x:f>
        <x:v>12.155504854368933</x:v>
      </x:c>
      <x:c r="O8" s="14" t="n">
        <x:v>8.25</x:v>
      </x:c>
      <x:c r="P8" s="16" t="n">
        <x:f>B8/O8</x:f>
        <x:v>574.3030303030303</x:v>
      </x:c>
      <x:c r="Q8" s="18" t="n">
        <x:v>12500</x:v>
      </x:c>
      <x:c r="R8" s="20" t="n">
        <x:v>0.5</x:v>
      </x:c>
      <x:c r="S8" s="18" t="n">
        <x:f>IF(Q8="","",Q8*R8)</x:f>
        <x:v>6250</x:v>
      </x:c>
      <x:c r="T8" s="18" t="n">
        <x:f>IF(S8="","",S8/P8)</x:f>
        <x:v>10.882756437315324</x:v>
      </x:c>
    </x:row>
    <x:row r="9">
      <x:c r="A9" t="str">
        <x:v>Arequipa - Juliaca - Cusco</x:v>
      </x:c>
      <x:c r="B9" t="n">
        <x:v>3122.2499999999995</x:v>
      </x:c>
      <x:c r="C9" s="14" t="n">
        <x:v>7.87</x:v>
      </x:c>
      <x:c r="D9" s="16" t="n">
        <x:f>B9/C9</x:f>
        <x:v>396.7280813214739</x:v>
      </x:c>
      <x:c r="E9" s="18" t="n">
        <x:v>14145</x:v>
      </x:c>
      <x:c r="F9" s="20" t="n">
        <x:v>0.7</x:v>
      </x:c>
      <x:c r="G9" s="18" t="n">
        <x:f>IF(E9="","",E9*F9)</x:f>
        <x:v>9901.5</x:v>
      </x:c>
      <x:c r="H9" s="18" t="n">
        <x:f>IF(G9="","",G9/D9)</x:f>
        <x:v>24.95790055248619</x:v>
      </x:c>
      <x:c r="I9" s="14" t="n">
        <x:v>7.83</x:v>
      </x:c>
      <x:c r="J9" s="16" t="n">
        <x:f>B9/I9</x:f>
        <x:v>398.75478927203056</x:v>
      </x:c>
      <x:c r="K9" s="18" t="n">
        <x:v>14222</x:v>
      </x:c>
      <x:c r="L9" s="20" t="n">
        <x:v>0.52</x:v>
      </x:c>
      <x:c r="M9" s="18" t="n">
        <x:f>IF(K9="","",K9*L9)</x:f>
        <x:v>7395.4400000000005</x:v>
      </x:c>
      <x:c r="N9" s="18" t="n">
        <x:f>IF(M9="","",M9/J9)</x:f>
        <x:v>18.546335239010336</x:v>
      </x:c>
      <x:c r="O9" s="14" t="n">
        <x:v>8.25</x:v>
      </x:c>
      <x:c r="P9" s="16" t="n">
        <x:f>B9/O9</x:f>
        <x:v>378.4545454545454</x:v>
      </x:c>
      <x:c r="Q9" s="18" t="n">
        <x:v>13000</x:v>
      </x:c>
      <x:c r="R9" s="20" t="n">
        <x:v>0.5</x:v>
      </x:c>
      <x:c r="S9" s="18" t="n">
        <x:f>IF(Q9="","",Q9*R9)</x:f>
        <x:v>6500</x:v>
      </x:c>
      <x:c r="T9" s="18" t="n">
        <x:f>IF(S9="","",S9/P9)</x:f>
        <x:v>17.17511410040836</x:v>
      </x:c>
    </x:row>
    <x:row r="10">
      <x:c r="A10" t="str">
        <x:v>Ayacucho</x:v>
      </x:c>
      <x:c r="B10" t="n">
        <x:v>1380</x:v>
      </x:c>
      <x:c r="C10" s="14" t="n">
        <x:v>7.87</x:v>
      </x:c>
      <x:c r="D10" s="16" t="n">
        <x:f>B10/C10</x:f>
        <x:v>175.34942820838629</x:v>
      </x:c>
      <x:c r="E10" s="18" t="n">
        <x:v>5811.75</x:v>
      </x:c>
      <x:c r="F10" s="20" t="n">
        <x:v>0.55</x:v>
      </x:c>
      <x:c r="G10" s="18" t="n">
        <x:f>IF(E10="","",E10*F10)</x:f>
        <x:v>3196.4625</x:v>
      </x:c>
      <x:c r="H10" s="18" t="n">
        <x:f>IF(G10="","",G10/D10)</x:f>
        <x:v>18.22910135869565</x:v>
      </x:c>
      <x:c r="I10" s="14" t="n">
        <x:v>7.83</x:v>
      </x:c>
      <x:c r="J10" s="16" t="n">
        <x:f>B10/I10</x:f>
        <x:v>176.24521072796935</x:v>
      </x:c>
      <x:c r="K10" s="18"/>
      <x:c r="L10" s="20" t="n">
        <x:v>0.52</x:v>
      </x:c>
      <x:c r="M10" s="18" t="str">
        <x:f>IF(K10="","",K10*L10)</x:f>
      </x:c>
      <x:c r="N10" s="18" t="str">
        <x:f>IF(M10="","",M10/J10)</x:f>
      </x:c>
      <x:c r="O10" s="14" t="n">
        <x:v>8.25</x:v>
      </x:c>
      <x:c r="P10" s="16" t="n">
        <x:f>B10/O10</x:f>
        <x:v>167.27272727272728</x:v>
      </x:c>
      <x:c r="Q10" s="18" t="n">
        <x:v>6000</x:v>
      </x:c>
      <x:c r="R10" s="20" t="n">
        <x:v>0.5</x:v>
      </x:c>
      <x:c r="S10" s="18" t="n">
        <x:f>IF(Q10="","",Q10*R10)</x:f>
        <x:v>3000</x:v>
      </x:c>
      <x:c r="T10" s="18" t="n">
        <x:f>IF(S10="","",S10/P10)</x:f>
        <x:v>17.934782608695652</x:v>
      </x:c>
    </x:row>
    <x:row r="11">
      <x:c r="A11" t="str">
        <x:v>Ayacucho - Huancavelica - Huanuco</x:v>
      </x:c>
      <x:c r="B11" t="n">
        <x:v>1954.9999999999998</x:v>
      </x:c>
      <x:c r="C11" s="14" t="n">
        <x:v>7.87</x:v>
      </x:c>
      <x:c r="D11" s="16" t="n">
        <x:f>B11/C11</x:f>
        <x:v>248.41168996188054</x:v>
      </x:c>
      <x:c r="E11" s="18" t="n">
        <x:v>8515.57</x:v>
      </x:c>
      <x:c r="F11" s="20" t="n">
        <x:v>0.55</x:v>
      </x:c>
      <x:c r="G11" s="18" t="n">
        <x:f>IF(E11="","",E11*F11)</x:f>
        <x:v>4683.5635</x:v>
      </x:c>
      <x:c r="H11" s="18" t="n">
        <x:f>IF(G11="","",G11/D11)</x:f>
        <x:v>18.854038232736574</x:v>
      </x:c>
      <x:c r="I11" s="14" t="n">
        <x:v>7.83</x:v>
      </x:c>
      <x:c r="J11" s="16" t="n">
        <x:f>B11/I11</x:f>
        <x:v>249.68071519795654</x:v>
      </x:c>
      <x:c r="K11" s="18"/>
      <x:c r="L11" s="20" t="n">
        <x:v>0.52</x:v>
      </x:c>
      <x:c r="M11" s="18" t="str">
        <x:f>IF(K11="","",K11*L11)</x:f>
      </x:c>
      <x:c r="N11" s="18" t="str">
        <x:f>IF(M11="","",M11/J11)</x:f>
      </x:c>
      <x:c r="O11" s="14" t="n">
        <x:v>8.25</x:v>
      </x:c>
      <x:c r="P11" s="16" t="n">
        <x:f>B11/O11</x:f>
        <x:v>236.96969696969694</x:v>
      </x:c>
      <x:c r="Q11" s="18" t="n">
        <x:v>7499.25</x:v>
      </x:c>
      <x:c r="R11" s="20" t="n">
        <x:v>0.5</x:v>
      </x:c>
      <x:c r="S11" s="18" t="n">
        <x:f>IF(Q11="","",Q11*R11)</x:f>
        <x:v>3749.625</x:v>
      </x:c>
      <x:c r="T11" s="18" t="n">
        <x:f>IF(S11="","",S11/P11)</x:f>
        <x:v>15.82322570332481</x:v>
      </x:c>
    </x:row>
    <x:row r="12">
      <x:c r="A12" t="str">
        <x:v>Cañete - Ica - Nazca</x:v>
      </x:c>
      <x:c r="B12" t="n">
        <x:v>963.6999999999999</x:v>
      </x:c>
      <x:c r="C12" s="14" t="n">
        <x:v>7.87</x:v>
      </x:c>
      <x:c r="D12" s="16" t="n">
        <x:f>B12/C12</x:f>
        <x:v>122.4523506988564</x:v>
      </x:c>
      <x:c r="E12" s="18" t="n">
        <x:v>3750.82</x:v>
      </x:c>
      <x:c r="F12" s="20" t="n">
        <x:v>0.5</x:v>
      </x:c>
      <x:c r="G12" s="18" t="n">
        <x:f>IF(E12="","",E12*F12)</x:f>
        <x:v>1875.41</x:v>
      </x:c>
      <x:c r="H12" s="18" t="n">
        <x:f>IF(G12="","",G12/D12)</x:f>
        <x:v>15.315426688803571</x:v>
      </x:c>
      <x:c r="I12" s="14" t="n">
        <x:v>7.83</x:v>
      </x:c>
      <x:c r="J12" s="16" t="n">
        <x:f>B12/I12</x:f>
        <x:v>123.07790549169859</x:v>
      </x:c>
      <x:c r="K12" s="18"/>
      <x:c r="L12" s="20" t="n">
        <x:v>0.52</x:v>
      </x:c>
      <x:c r="M12" s="18" t="str">
        <x:f>IF(K12="","",K12*L12)</x:f>
      </x:c>
      <x:c r="N12" s="18" t="str">
        <x:f>IF(M12="","",M12/J12)</x:f>
      </x:c>
      <x:c r="O12" s="14" t="n">
        <x:v>8.25</x:v>
      </x:c>
      <x:c r="P12" s="16" t="n">
        <x:f>B12/O12</x:f>
        <x:v>116.8121212121212</x:v>
      </x:c>
      <x:c r="Q12" s="18" t="n">
        <x:v>4499.55</x:v>
      </x:c>
      <x:c r="R12" s="20" t="n">
        <x:v>0.5</x:v>
      </x:c>
      <x:c r="S12" s="18" t="n">
        <x:f>IF(Q12="","",Q12*R12)</x:f>
        <x:v>2249.775</x:v>
      </x:c>
      <x:c r="T12" s="18" t="n">
        <x:f>IF(S12="","",S12/P12)</x:f>
        <x:v>19.25977352910657</x:v>
      </x:c>
    </x:row>
    <x:row r="13">
      <x:c r="A13" t="str">
        <x:v>Chiclayo - Motupe</x:v>
      </x:c>
      <x:c r="B13" t="n">
        <x:v>1966.4999999999998</x:v>
      </x:c>
      <x:c r="C13" s="14" t="n">
        <x:v>7.87</x:v>
      </x:c>
      <x:c r="D13" s="16" t="n">
        <x:f>B13/C13</x:f>
        <x:v>249.8729351969504</x:v>
      </x:c>
      <x:c r="E13" s="18" t="n">
        <x:v>10393.5</x:v>
      </x:c>
      <x:c r="F13" s="20" t="n">
        <x:v>0.6</x:v>
      </x:c>
      <x:c r="G13" s="18" t="n">
        <x:f>IF(E13="","",E13*F13)</x:f>
        <x:v>6236.099999999999</x:v>
      </x:c>
      <x:c r="H13" s="18" t="n">
        <x:f>IF(G13="","",G13/D13)</x:f>
        <x:v>24.95708466819222</x:v>
      </x:c>
      <x:c r="I13" s="14" t="n">
        <x:v>7.83</x:v>
      </x:c>
      <x:c r="J13" s="16" t="n">
        <x:f>B13/I13</x:f>
        <x:v>251.14942528735628</x:v>
      </x:c>
      <x:c r="K13" s="18"/>
      <x:c r="L13" s="20" t="n">
        <x:v>0.52</x:v>
      </x:c>
      <x:c r="M13" s="18" t="str">
        <x:f>IF(K13="","",K13*L13)</x:f>
      </x:c>
      <x:c r="N13" s="18" t="str">
        <x:f>IF(M13="","",M13/J13)</x:f>
      </x:c>
      <x:c r="O13" s="14" t="n">
        <x:v>8.25</x:v>
      </x:c>
      <x:c r="P13" s="16" t="n">
        <x:f>B13/O13</x:f>
        <x:v>238.36363636363635</x:v>
      </x:c>
      <x:c r="Q13" s="18" t="n">
        <x:v>9000</x:v>
      </x:c>
      <x:c r="R13" s="20" t="n">
        <x:v>0.5</x:v>
      </x:c>
      <x:c r="S13" s="18" t="n">
        <x:f>IF(Q13="","",Q13*R13)</x:f>
        <x:v>4500</x:v>
      </x:c>
      <x:c r="T13" s="18" t="n">
        <x:f>IF(S13="","",S13/P13)</x:f>
        <x:v>18.87871853546911</x:v>
      </x:c>
    </x:row>
    <x:row r="14">
      <x:c r="A14" t="str">
        <x:v>Chiclayo - Motupe - Cajamarca</x:v>
      </x:c>
      <x:c r="B14" t="n">
        <x:v>2254</x:v>
      </x:c>
      <x:c r="C14" s="14" t="n">
        <x:v>7.87</x:v>
      </x:c>
      <x:c r="D14" s="16" t="n">
        <x:f>B14/C14</x:f>
        <x:v>286.4040660736976</x:v>
      </x:c>
      <x:c r="E14" s="18" t="n">
        <x:v>13530</x:v>
      </x:c>
      <x:c r="F14" s="20" t="n">
        <x:v>0.6</x:v>
      </x:c>
      <x:c r="G14" s="18" t="n">
        <x:f>IF(E14="","",E14*F14)</x:f>
        <x:v>8118</x:v>
      </x:c>
      <x:c r="H14" s="18" t="n">
        <x:f>IF(G14="","",G14/D14)</x:f>
        <x:v>28.344569653948533</x:v>
      </x:c>
      <x:c r="I14" s="14" t="n">
        <x:v>7.83</x:v>
      </x:c>
      <x:c r="J14" s="16" t="n">
        <x:f>B14/I14</x:f>
        <x:v>287.86717752234995</x:v>
      </x:c>
      <x:c r="K14" s="18" t="n">
        <x:v>13000</x:v>
      </x:c>
      <x:c r="L14" s="20" t="n">
        <x:v>0.52</x:v>
      </x:c>
      <x:c r="M14" s="18" t="n">
        <x:f>IF(K14="","",K14*L14)</x:f>
        <x:v>6760</x:v>
      </x:c>
      <x:c r="N14" s="18" t="n">
        <x:f>IF(M14="","",M14/J14)</x:f>
        <x:v>23.48305235137533</x:v>
      </x:c>
      <x:c r="O14" s="14" t="n">
        <x:v>8.25</x:v>
      </x:c>
      <x:c r="P14" s="16" t="n">
        <x:f>B14/O14</x:f>
        <x:v>273.2121212121212</x:v>
      </x:c>
      <x:c r="Q14" s="18" t="n">
        <x:v>13530</x:v>
      </x:c>
      <x:c r="R14" s="20" t="n">
        <x:v>0.5</x:v>
      </x:c>
      <x:c r="S14" s="18" t="n">
        <x:f>IF(Q14="","",Q14*R14)</x:f>
        <x:v>6765</x:v>
      </x:c>
      <x:c r="T14" s="18" t="n">
        <x:f>IF(S14="","",S14/P14)</x:f>
        <x:v>24.760980479148184</x:v>
      </x:c>
    </x:row>
    <x:row r="15">
      <x:c r="A15" t="str">
        <x:v>Cusco</x:v>
      </x:c>
      <x:c r="B15" t="n">
        <x:v>3334.9999999999995</x:v>
      </x:c>
      <x:c r="C15" s="14" t="n">
        <x:v>7.87</x:v>
      </x:c>
      <x:c r="D15" s="16" t="n">
        <x:f>B15/C15</x:f>
        <x:v>423.7611181702668</x:v>
      </x:c>
      <x:c r="E15" s="18" t="n">
        <x:v>12865.8</x:v>
      </x:c>
      <x:c r="F15" s="20" t="n">
        <x:v>0.7</x:v>
      </x:c>
      <x:c r="G15" s="18" t="n">
        <x:f>IF(E15="","",E15*F15)</x:f>
        <x:v>9006.06</x:v>
      </x:c>
      <x:c r="H15" s="18" t="n">
        <x:f>IF(G15="","",G15/D15)</x:f>
        <x:v>21.25268131934033</x:v>
      </x:c>
      <x:c r="I15" s="14" t="n">
        <x:v>7.83</x:v>
      </x:c>
      <x:c r="J15" s="16" t="n">
        <x:f>B15/I15</x:f>
        <x:v>425.92592592592587</x:v>
      </x:c>
      <x:c r="K15" s="18"/>
      <x:c r="L15" s="20" t="n">
        <x:v>0.52</x:v>
      </x:c>
      <x:c r="M15" s="18" t="str">
        <x:f>IF(K15="","",K15*L15)</x:f>
      </x:c>
      <x:c r="N15" s="18" t="str">
        <x:f>IF(M15="","",M15/J15)</x:f>
      </x:c>
      <x:c r="O15" s="14" t="n">
        <x:v>8.25</x:v>
      </x:c>
      <x:c r="P15" s="16" t="n">
        <x:f>B15/O15</x:f>
        <x:v>404.2424242424242</x:v>
      </x:c>
      <x:c r="Q15" s="18" t="n">
        <x:v>12650</x:v>
      </x:c>
      <x:c r="R15" s="20" t="n">
        <x:v>0.5</x:v>
      </x:c>
      <x:c r="S15" s="18" t="n">
        <x:f>IF(Q15="","",Q15*R15)</x:f>
        <x:v>6325</x:v>
      </x:c>
      <x:c r="T15" s="18" t="n">
        <x:f>IF(S15="","",S15/P15)</x:f>
        <x:v>15.646551724137932</x:v>
      </x:c>
    </x:row>
    <x:row r="16">
      <x:c r="A16" t="str">
        <x:v>Cusco - Juliaca</x:v>
      </x:c>
      <x:c r="B16" t="n">
        <x:v>3145.2499999999995</x:v>
      </x:c>
      <x:c r="C16" s="14" t="n">
        <x:v>7.87</x:v>
      </x:c>
      <x:c r="D16" s="16" t="n">
        <x:f>B16/C16</x:f>
        <x:v>399.6505717916137</x:v>
      </x:c>
      <x:c r="E16" s="18" t="n">
        <x:v>14145</x:v>
      </x:c>
      <x:c r="F16" s="20" t="n">
        <x:v>0.7</x:v>
      </x:c>
      <x:c r="G16" s="18" t="n">
        <x:f>IF(E16="","",E16*F16)</x:f>
        <x:v>9901.5</x:v>
      </x:c>
      <x:c r="H16" s="18" t="n">
        <x:f>IF(G16="","",G16/D16)</x:f>
        <x:v>24.775393053016455</x:v>
      </x:c>
      <x:c r="I16" s="14" t="n">
        <x:v>7.83</x:v>
      </x:c>
      <x:c r="J16" s="16" t="n">
        <x:f>B16/I16</x:f>
        <x:v>401.6922094508301</x:v>
      </x:c>
      <x:c r="K16" s="18" t="n">
        <x:v>14145</x:v>
      </x:c>
      <x:c r="L16" s="20" t="n">
        <x:v>0.52</x:v>
      </x:c>
      <x:c r="M16" s="18" t="n">
        <x:f>IF(K16="","",K16*L16)</x:f>
        <x:v>7355.400000000001</x:v>
      </x:c>
      <x:c r="N16" s="18" t="n">
        <x:f>IF(M16="","",M16/J16)</x:f>
        <x:v>18.311034734917737</x:v>
      </x:c>
      <x:c r="O16" s="14" t="n">
        <x:v>8.25</x:v>
      </x:c>
      <x:c r="P16" s="16" t="n">
        <x:f>B16/O16</x:f>
        <x:v>381.2424242424242</x:v>
      </x:c>
      <x:c r="Q16" s="18" t="n">
        <x:v>11500</x:v>
      </x:c>
      <x:c r="R16" s="20" t="n">
        <x:v>0.5</x:v>
      </x:c>
      <x:c r="S16" s="18" t="n">
        <x:f>IF(Q16="","",Q16*R16)</x:f>
        <x:v>5750</x:v>
      </x:c>
      <x:c r="T16" s="18" t="n">
        <x:f>IF(S16="","",S16/P16)</x:f>
        <x:v>15.082266910420477</x:v>
      </x:c>
    </x:row>
    <x:row r="17">
      <x:c r="A17" t="str">
        <x:v>Huancayo</x:v>
      </x:c>
      <x:c r="B17" t="n">
        <x:v>2070</x:v>
      </x:c>
      <x:c r="C17" s="14" t="n">
        <x:v>7.87</x:v>
      </x:c>
      <x:c r="D17" s="16" t="n">
        <x:f>B17/C17</x:f>
        <x:v>263.0241423125794</x:v>
      </x:c>
      <x:c r="E17" s="18" t="n">
        <x:v>3567</x:v>
      </x:c>
      <x:c r="F17" s="20" t="n">
        <x:v>0.55</x:v>
      </x:c>
      <x:c r="G17" s="18" t="n">
        <x:f>IF(E17="","",E17*F17)</x:f>
        <x:v>1961.8500000000001</x:v>
      </x:c>
      <x:c r="H17" s="18" t="n">
        <x:f>IF(G17="","",G17/D17)</x:f>
        <x:v>7.458821014492755</x:v>
      </x:c>
      <x:c r="I17" s="14" t="n">
        <x:v>7.83</x:v>
      </x:c>
      <x:c r="J17" s="16" t="n">
        <x:f>B17/I17</x:f>
        <x:v>264.367816091954</x:v>
      </x:c>
      <x:c r="K17" s="18"/>
      <x:c r="L17" s="20" t="n">
        <x:v>0.52</x:v>
      </x:c>
      <x:c r="M17" s="18" t="str">
        <x:f>IF(K17="","",K17*L17)</x:f>
      </x:c>
      <x:c r="N17" s="18" t="str">
        <x:f>IF(M17="","",M17/J17)</x:f>
      </x:c>
      <x:c r="O17" s="14" t="n">
        <x:v>8.25</x:v>
      </x:c>
      <x:c r="P17" s="16" t="n">
        <x:f>B17/O17</x:f>
        <x:v>250.9090909090909</x:v>
      </x:c>
      <x:c r="Q17" s="18"/>
      <x:c r="R17" s="20" t="n">
        <x:v>0.5</x:v>
      </x:c>
      <x:c r="S17" s="18" t="str">
        <x:f>IF(Q17="","",Q17*R17)</x:f>
      </x:c>
      <x:c r="T17" s="18" t="str">
        <x:f>IF(S17="","",S17/P17)</x:f>
      </x:c>
    </x:row>
    <x:row r="18">
      <x:c r="A18" t="str">
        <x:v>Huancayo - Huancavelica - Ayacucho</x:v>
      </x:c>
      <x:c r="B18" t="n">
        <x:v>1449</x:v>
      </x:c>
      <x:c r="C18" s="14" t="n">
        <x:v>7.87</x:v>
      </x:c>
      <x:c r="D18" s="16" t="n">
        <x:f>B18/C18</x:f>
        <x:v>184.11689961880558</x:v>
      </x:c>
      <x:c r="E18" s="18" t="n">
        <x:v>8486.15</x:v>
      </x:c>
      <x:c r="F18" s="20" t="n">
        <x:v>0.55</x:v>
      </x:c>
      <x:c r="G18" s="18" t="n">
        <x:f>IF(E18="","",E18*F18)</x:f>
        <x:v>4667.382500000001</x:v>
      </x:c>
      <x:c r="H18" s="18" t="n">
        <x:f>IF(G18="","",G18/D18)</x:f>
        <x:v>25.350103709454803</x:v>
      </x:c>
      <x:c r="I18" s="14" t="n">
        <x:v>7.83</x:v>
      </x:c>
      <x:c r="J18" s="16" t="n">
        <x:f>B18/I18</x:f>
        <x:v>185.05747126436782</x:v>
      </x:c>
      <x:c r="K18" s="18"/>
      <x:c r="L18" s="20" t="n">
        <x:v>0.52</x:v>
      </x:c>
      <x:c r="M18" s="18" t="str">
        <x:f>IF(K18="","",K18*L18)</x:f>
      </x:c>
      <x:c r="N18" s="18" t="str">
        <x:f>IF(M18="","",M18/J18)</x:f>
      </x:c>
      <x:c r="O18" s="14" t="n">
        <x:v>8.25</x:v>
      </x:c>
      <x:c r="P18" s="16" t="n">
        <x:f>B18/O18</x:f>
        <x:v>175.63636363636363</x:v>
      </x:c>
      <x:c r="Q18" s="18" t="n">
        <x:v>7499.25</x:v>
      </x:c>
      <x:c r="R18" s="20" t="n">
        <x:v>0.5</x:v>
      </x:c>
      <x:c r="S18" s="18" t="n">
        <x:f>IF(Q18="","",Q18*R18)</x:f>
        <x:v>3749.625</x:v>
      </x:c>
      <x:c r="T18" s="18" t="n">
        <x:f>IF(S18="","",S18/P18)</x:f>
        <x:v>21.348796583850934</x:v>
      </x:c>
    </x:row>
    <x:row r="19">
      <x:c r="A19" t="str">
        <x:v>Huanuco - Pucallpa</x:v>
      </x:c>
      <x:c r="B19" t="n">
        <x:v>1897.4999999999998</x:v>
      </x:c>
      <x:c r="C19" s="14" t="n">
        <x:v>7.87</x:v>
      </x:c>
      <x:c r="D19" s="16" t="n">
        <x:f>B19/C19</x:f>
        <x:v>241.1054637865311</x:v>
      </x:c>
      <x:c r="E19" s="18" t="n">
        <x:v>9717</x:v>
      </x:c>
      <x:c r="F19" s="20" t="n">
        <x:v>0.5</x:v>
      </x:c>
      <x:c r="G19" s="18" t="n">
        <x:f>IF(E19="","",E19*F19)</x:f>
        <x:v>4858.5</x:v>
      </x:c>
      <x:c r="H19" s="18" t="n">
        <x:f>IF(G19="","",G19/D19)</x:f>
        <x:v>20.150932806324114</x:v>
      </x:c>
      <x:c r="I19" s="14" t="n">
        <x:v>7.83</x:v>
      </x:c>
      <x:c r="J19" s="16" t="n">
        <x:f>B19/I19</x:f>
        <x:v>242.3371647509578</x:v>
      </x:c>
      <x:c r="K19" s="18"/>
      <x:c r="L19" s="20" t="n">
        <x:v>0.52</x:v>
      </x:c>
      <x:c r="M19" s="18" t="str">
        <x:f>IF(K19="","",K19*L19)</x:f>
      </x:c>
      <x:c r="N19" s="18" t="str">
        <x:f>IF(M19="","",M19/J19)</x:f>
      </x:c>
      <x:c r="O19" s="14" t="n">
        <x:v>8.25</x:v>
      </x:c>
      <x:c r="P19" s="16" t="n">
        <x:f>B19/O19</x:f>
        <x:v>229.99999999999997</x:v>
      </x:c>
      <x:c r="Q19" s="18" t="n">
        <x:v>8700</x:v>
      </x:c>
      <x:c r="R19" s="20" t="n">
        <x:v>0.5</x:v>
      </x:c>
      <x:c r="S19" s="18" t="n">
        <x:f>IF(Q19="","",Q19*R19)</x:f>
        <x:v>4350</x:v>
      </x:c>
      <x:c r="T19" s="18" t="n">
        <x:f>IF(S19="","",S19/P19)</x:f>
        <x:v>18.91304347826087</x:v>
      </x:c>
    </x:row>
    <x:row r="20">
      <x:c r="A20" t="str">
        <x:v>Huanuco - Tingo Maria</x:v>
      </x:c>
      <x:c r="B20" t="n">
        <x:v>1230.5</x:v>
      </x:c>
      <x:c r="C20" s="14" t="n">
        <x:v>7.87</x:v>
      </x:c>
      <x:c r="D20" s="16" t="n">
        <x:f>B20/C20</x:f>
        <x:v>156.35324015247775</x:v>
      </x:c>
      <x:c r="E20" s="18" t="n">
        <x:v>7100</x:v>
      </x:c>
      <x:c r="F20" s="20" t="n">
        <x:v>0.5</x:v>
      </x:c>
      <x:c r="G20" s="18" t="n">
        <x:f>IF(E20="","",E20*F20)</x:f>
        <x:v>3550</x:v>
      </x:c>
      <x:c r="H20" s="18" t="n">
        <x:f>IF(G20="","",G20/D20)</x:f>
        <x:v>22.70499796830557</x:v>
      </x:c>
      <x:c r="I20" s="14" t="n">
        <x:v>7.83</x:v>
      </x:c>
      <x:c r="J20" s="16" t="n">
        <x:f>B20/I20</x:f>
        <x:v>157.15197956577268</x:v>
      </x:c>
      <x:c r="K20" s="18"/>
      <x:c r="L20" s="20" t="n">
        <x:v>0.52</x:v>
      </x:c>
      <x:c r="M20" s="18" t="str">
        <x:f>IF(K20="","",K20*L20)</x:f>
      </x:c>
      <x:c r="N20" s="18" t="str">
        <x:f>IF(M20="","",M20/J20)</x:f>
      </x:c>
      <x:c r="O20" s="14" t="n">
        <x:v>8.25</x:v>
      </x:c>
      <x:c r="P20" s="16" t="n">
        <x:f>B20/O20</x:f>
        <x:v>149.15151515151516</x:v>
      </x:c>
      <x:c r="Q20" s="18"/>
      <x:c r="R20" s="20" t="n">
        <x:v>0.5</x:v>
      </x:c>
      <x:c r="S20" s="18" t="str">
        <x:f>IF(Q20="","",Q20*R20)</x:f>
      </x:c>
      <x:c r="T20" s="18" t="str">
        <x:f>IF(S20="","",S20/P20)</x:f>
      </x:c>
    </x:row>
    <x:row r="21">
      <x:c r="A21" t="str">
        <x:v>Huanuco - Tingo Maria - Chanchamayo - Satipo</x:v>
      </x:c>
      <x:c r="B21" t="n">
        <x:v>1690.4999999999998</x:v>
      </x:c>
      <x:c r="C21" s="14" t="n">
        <x:v>7.87</x:v>
      </x:c>
      <x:c r="D21" s="16" t="n">
        <x:f>B21/C21</x:f>
        <x:v>214.80304955527316</x:v>
      </x:c>
      <x:c r="E21" s="18" t="n">
        <x:v>7995.8</x:v>
      </x:c>
      <x:c r="F21" s="20" t="n">
        <x:v>0.5</x:v>
      </x:c>
      <x:c r="G21" s="18" t="n">
        <x:f>IF(E21="","",E21*F21)</x:f>
        <x:v>3997.9</x:v>
      </x:c>
      <x:c r="H21" s="18" t="n">
        <x:f>IF(G21="","",G21/D21)</x:f>
        <x:v>18.611933155871046</x:v>
      </x:c>
      <x:c r="I21" s="14" t="n">
        <x:v>7.83</x:v>
      </x:c>
      <x:c r="J21" s="16" t="n">
        <x:f>B21/I21</x:f>
        <x:v>215.90038314176243</x:v>
      </x:c>
      <x:c r="K21" s="18" t="n">
        <x:v>7995.8</x:v>
      </x:c>
      <x:c r="L21" s="20" t="n">
        <x:v>0.52</x:v>
      </x:c>
      <x:c r="M21" s="18" t="n">
        <x:f>IF(K21="","",K21*L21)</x:f>
        <x:v>4157.816</x:v>
      </x:c>
      <x:c r="N21" s="18" t="n">
        <x:f>IF(M21="","",M21/J21)</x:f>
        <x:v>19.258029742679682</x:v>
      </x:c>
      <x:c r="O21" s="14" t="n">
        <x:v>8.25</x:v>
      </x:c>
      <x:c r="P21" s="16" t="n">
        <x:f>B21/O21</x:f>
        <x:v>204.90909090909088</x:v>
      </x:c>
      <x:c r="Q21" s="18" t="n">
        <x:v>8000.8</x:v>
      </x:c>
      <x:c r="R21" s="20" t="n">
        <x:v>0.5</x:v>
      </x:c>
      <x:c r="S21" s="18" t="n">
        <x:f>IF(Q21="","",Q21*R21)</x:f>
        <x:v>4000.4</x:v>
      </x:c>
      <x:c r="T21" s="18" t="n">
        <x:f>IF(S21="","",S21/P21)</x:f>
        <x:v>19.522803904170367</x:v>
      </x:c>
    </x:row>
    <x:row r="22">
      <x:c r="A22" t="str">
        <x:v>Huanuco - Tingo Maria - Pucallpa</x:v>
      </x:c>
      <x:c r="B22" t="n">
        <x:v>1897.4999999999998</x:v>
      </x:c>
      <x:c r="C22" s="14" t="n">
        <x:v>7.87</x:v>
      </x:c>
      <x:c r="D22" s="16" t="n">
        <x:f>B22/C22</x:f>
        <x:v>241.1054637865311</x:v>
      </x:c>
      <x:c r="E22" s="18" t="n">
        <x:v>9716.03</x:v>
      </x:c>
      <x:c r="F22" s="20" t="n">
        <x:v>0.5</x:v>
      </x:c>
      <x:c r="G22" s="18" t="n">
        <x:f>IF(E22="","",E22*F22)</x:f>
        <x:v>4858.015</x:v>
      </x:c>
      <x:c r="H22" s="18" t="n">
        <x:f>IF(G22="","",G22/D22)</x:f>
        <x:v>20.14892123847168</x:v>
      </x:c>
      <x:c r="I22" s="14" t="n">
        <x:v>7.83</x:v>
      </x:c>
      <x:c r="J22" s="16" t="n">
        <x:f>B22/I22</x:f>
        <x:v>242.3371647509578</x:v>
      </x:c>
      <x:c r="K22" s="18" t="n">
        <x:v>9199.08</x:v>
      </x:c>
      <x:c r="L22" s="20" t="n">
        <x:v>0.52</x:v>
      </x:c>
      <x:c r="M22" s="18" t="n">
        <x:f>IF(K22="","",K22*L22)</x:f>
        <x:v>4783.5216</x:v>
      </x:c>
      <x:c r="N22" s="18" t="n">
        <x:f>IF(M22="","",M22/J22)</x:f>
        <x:v>19.739116800000005</x:v>
      </x:c>
      <x:c r="O22" s="14" t="n">
        <x:v>8.25</x:v>
      </x:c>
      <x:c r="P22" s="16" t="n">
        <x:f>B22/O22</x:f>
        <x:v>229.99999999999997</x:v>
      </x:c>
      <x:c r="Q22" s="18" t="n">
        <x:v>8699.13</x:v>
      </x:c>
      <x:c r="R22" s="20" t="n">
        <x:v>0.5</x:v>
      </x:c>
      <x:c r="S22" s="18" t="n">
        <x:f>IF(Q22="","",Q22*R22)</x:f>
        <x:v>4349.565</x:v>
      </x:c>
      <x:c r="T22" s="18" t="n">
        <x:f>IF(S22="","",S22/P22)</x:f>
        <x:v>18.911152173913045</x:v>
      </x:c>
    </x:row>
    <x:row r="23">
      <x:c r="A23" t="str">
        <x:v>Motupe</x:v>
      </x:c>
      <x:c r="B23" t="n">
        <x:v>1966.4999999999998</x:v>
      </x:c>
      <x:c r="C23" s="14" t="n">
        <x:v>7.87</x:v>
      </x:c>
      <x:c r="D23" s="16" t="n">
        <x:f>B23/C23</x:f>
        <x:v>249.8729351969504</x:v>
      </x:c>
      <x:c r="E23" s="18" t="n">
        <x:v>8388.9</x:v>
      </x:c>
      <x:c r="F23" s="20" t="n">
        <x:v>0.6</x:v>
      </x:c>
      <x:c r="G23" s="18" t="n">
        <x:f>IF(E23="","",E23*F23)</x:f>
        <x:v>5033.339999999999</x:v>
      </x:c>
      <x:c r="H23" s="18" t="n">
        <x:f>IF(G23="","",G23/D23)</x:f>
        <x:v>20.143598169336386</x:v>
      </x:c>
      <x:c r="I23" s="14" t="n">
        <x:v>7.83</x:v>
      </x:c>
      <x:c r="J23" s="16" t="n">
        <x:f>B23/I23</x:f>
        <x:v>251.14942528735628</x:v>
      </x:c>
      <x:c r="K23" s="18"/>
      <x:c r="L23" s="20" t="n">
        <x:v>0.52</x:v>
      </x:c>
      <x:c r="M23" s="18" t="str">
        <x:f>IF(K23="","",K23*L23)</x:f>
      </x:c>
      <x:c r="N23" s="18" t="str">
        <x:f>IF(M23="","",M23/J23)</x:f>
      </x:c>
      <x:c r="O23" s="14" t="n">
        <x:v>8.25</x:v>
      </x:c>
      <x:c r="P23" s="16" t="n">
        <x:f>B23/O23</x:f>
        <x:v>238.36363636363635</x:v>
      </x:c>
      <x:c r="Q23" s="18" t="n">
        <x:v>9300</x:v>
      </x:c>
      <x:c r="R23" s="20" t="n">
        <x:v>0.5</x:v>
      </x:c>
      <x:c r="S23" s="18" t="n">
        <x:f>IF(Q23="","",Q23*R23)</x:f>
        <x:v>4650</x:v>
      </x:c>
      <x:c r="T23" s="18" t="n">
        <x:f>IF(S23="","",S23/P23)</x:f>
        <x:v>19.508009153318078</x:v>
      </x:c>
    </x:row>
    <x:row r="24">
      <x:c r="A24" t="str">
        <x:v>Piura</x:v>
      </x:c>
      <x:c r="B24" t="n">
        <x:v>2231</x:v>
      </x:c>
      <x:c r="C24" s="14" t="n">
        <x:v>7.87</x:v>
      </x:c>
      <x:c r="D24" s="16" t="n">
        <x:f>B24/C24</x:f>
        <x:v>283.4815756035578</x:v>
      </x:c>
      <x:c r="E24" s="18" t="n">
        <x:v>9975.3</x:v>
      </x:c>
      <x:c r="F24" s="20" t="n">
        <x:v>0.55</x:v>
      </x:c>
      <x:c r="G24" s="18" t="n">
        <x:f>IF(E24="","",E24*F24)</x:f>
        <x:v>5486.415</x:v>
      </x:c>
      <x:c r="H24" s="18" t="n">
        <x:f>IF(G24="","",G24/D24)</x:f>
        <x:v>19.353691640519948</x:v>
      </x:c>
      <x:c r="I24" s="14" t="n">
        <x:v>7.83</x:v>
      </x:c>
      <x:c r="J24" s="16" t="n">
        <x:f>B24/I24</x:f>
        <x:v>284.9297573435504</x:v>
      </x:c>
      <x:c r="K24" s="18" t="n">
        <x:v>10784</x:v>
      </x:c>
      <x:c r="L24" s="20" t="n">
        <x:v>0.52</x:v>
      </x:c>
      <x:c r="M24" s="18" t="n">
        <x:f>IF(K24="","",K24*L24)</x:f>
        <x:v>5607.68</x:v>
      </x:c>
      <x:c r="N24" s="18" t="n">
        <x:f>IF(M24="","",M24/J24)</x:f>
        <x:v>19.68092084267145</x:v>
      </x:c>
      <x:c r="O24" s="14" t="n">
        <x:v>8.25</x:v>
      </x:c>
      <x:c r="P24" s="16" t="n">
        <x:f>B24/O24</x:f>
        <x:v>270.42424242424244</x:v>
      </x:c>
      <x:c r="Q24" s="18" t="n">
        <x:v>10000</x:v>
      </x:c>
      <x:c r="R24" s="20" t="n">
        <x:v>0.5</x:v>
      </x:c>
      <x:c r="S24" s="18" t="n">
        <x:f>IF(Q24="","",Q24*R24)</x:f>
        <x:v>5000</x:v>
      </x:c>
      <x:c r="T24" s="18" t="n">
        <x:f>IF(S24="","",S24/P24)</x:f>
        <x:v>18.489466606902734</x:v>
      </x:c>
    </x:row>
    <x:row r="25">
      <x:c r="A25" t="str">
        <x:v>Pucallpa</x:v>
      </x:c>
      <x:c r="B25" t="n">
        <x:v>1747.9999999999998</x:v>
      </x:c>
      <x:c r="C25" s="14" t="n">
        <x:v>7.87</x:v>
      </x:c>
      <x:c r="D25" s="16" t="n">
        <x:f>B25/C25</x:f>
        <x:v>222.10927573062258</x:v>
      </x:c>
      <x:c r="E25" s="18" t="n">
        <x:v>9717</x:v>
      </x:c>
      <x:c r="F25" s="20" t="n">
        <x:v>0.5</x:v>
      </x:c>
      <x:c r="G25" s="18" t="n">
        <x:f>IF(E25="","",E25*F25)</x:f>
        <x:v>4858.5</x:v>
      </x:c>
      <x:c r="H25" s="18" t="n">
        <x:f>IF(G25="","",G25/D25)</x:f>
        <x:v>21.874367848970255</x:v>
      </x:c>
      <x:c r="I25" s="14" t="n">
        <x:v>7.83</x:v>
      </x:c>
      <x:c r="J25" s="16" t="n">
        <x:f>B25/I25</x:f>
        <x:v>223.24393358876114</x:v>
      </x:c>
      <x:c r="K25" s="18" t="n">
        <x:v>9400</x:v>
      </x:c>
      <x:c r="L25" s="20" t="n">
        <x:v>0.52</x:v>
      </x:c>
      <x:c r="M25" s="18" t="n">
        <x:f>IF(K25="","",K25*L25)</x:f>
        <x:v>4888</x:v>
      </x:c>
      <x:c r="N25" s="18" t="n">
        <x:f>IF(M25="","",M25/J25)</x:f>
        <x:v>21.895331807780323</x:v>
      </x:c>
      <x:c r="O25" s="14" t="n">
        <x:v>8.25</x:v>
      </x:c>
      <x:c r="P25" s="16" t="n">
        <x:f>B25/O25</x:f>
        <x:v>211.87878787878785</x:v>
      </x:c>
      <x:c r="Q25" s="18" t="n">
        <x:v>8700</x:v>
      </x:c>
      <x:c r="R25" s="20" t="n">
        <x:v>0.5</x:v>
      </x:c>
      <x:c r="S25" s="18" t="n">
        <x:f>IF(Q25="","",Q25*R25)</x:f>
        <x:v>4350</x:v>
      </x:c>
      <x:c r="T25" s="18" t="n">
        <x:f>IF(S25="","",S25/P25)</x:f>
        <x:v>20.530606407322658</x:v>
      </x:c>
    </x:row>
    <x:row r="26">
      <x:c r="A26" t="str">
        <x:v>Trujillo</x:v>
      </x:c>
      <x:c r="B26" t="n">
        <x:v>1288</x:v>
      </x:c>
      <x:c r="C26" s="14" t="n">
        <x:v>7.87</x:v>
      </x:c>
      <x:c r="D26" s="16" t="n">
        <x:f>B26/C26</x:f>
        <x:v>163.6594663278272</x:v>
      </x:c>
      <x:c r="E26" s="18" t="n">
        <x:v>5250</x:v>
      </x:c>
      <x:c r="F26" s="20" t="n">
        <x:v>0.7</x:v>
      </x:c>
      <x:c r="G26" s="18" t="n">
        <x:f>IF(E26="","",E26*F26)</x:f>
        <x:v>3674.9999999999995</x:v>
      </x:c>
      <x:c r="H26" s="18" t="n">
        <x:f>IF(G26="","",G26/D26)</x:f>
        <x:v>22.455163043478258</x:v>
      </x:c>
      <x:c r="I26" s="14" t="n">
        <x:v>7.83</x:v>
      </x:c>
      <x:c r="J26" s="16" t="n">
        <x:f>B26/I26</x:f>
        <x:v>164.49553001277138</x:v>
      </x:c>
      <x:c r="K26" s="18" t="n">
        <x:v>7000</x:v>
      </x:c>
      <x:c r="L26" s="20" t="n">
        <x:v>0.52</x:v>
      </x:c>
      <x:c r="M26" s="18" t="n">
        <x:f>IF(K26="","",K26*L26)</x:f>
        <x:v>3640</x:v>
      </x:c>
      <x:c r="N26" s="18" t="n">
        <x:f>IF(M26="","",M26/J26)</x:f>
        <x:v>22.128260869565217</x:v>
      </x:c>
      <x:c r="O26" s="14" t="n">
        <x:v>8.25</x:v>
      </x:c>
      <x:c r="P26" s="16" t="n">
        <x:f>B26/O26</x:f>
        <x:v>156.12121212121212</x:v>
      </x:c>
      <x:c r="Q26" s="18" t="n">
        <x:v>4350</x:v>
      </x:c>
      <x:c r="R26" s="20" t="n">
        <x:v>0.5</x:v>
      </x:c>
      <x:c r="S26" s="18" t="n">
        <x:f>IF(Q26="","",Q26*R26)</x:f>
        <x:v>2175</x:v>
      </x:c>
      <x:c r="T26" s="18" t="n">
        <x:f>IF(S26="","",S26/P26)</x:f>
        <x:v>13.931482919254657</x:v>
      </x:c>
    </x:row>
    <x:row r="27">
      <x:c r="A27" t="str">
        <x:v>Trujillo - Cajamarca</x:v>
      </x:c>
      <x:c r="B27" t="n">
        <x:v>2035.4999999999998</x:v>
      </x:c>
      <x:c r="C27" s="14" t="n">
        <x:v>7.87</x:v>
      </x:c>
      <x:c r="D27" s="16" t="n">
        <x:f>B27/C27</x:f>
        <x:v>258.6404066073697</x:v>
      </x:c>
      <x:c r="E27" s="18"/>
      <x:c r="F27" s="20" t="n">
        <x:v>0.7</x:v>
      </x:c>
      <x:c r="G27" s="18" t="str">
        <x:f>IF(E27="","",E27*F27)</x:f>
      </x:c>
      <x:c r="H27" s="18" t="str">
        <x:f>IF(G27="","",G27/D27)</x:f>
      </x:c>
      <x:c r="I27" s="14" t="n">
        <x:v>7.83</x:v>
      </x:c>
      <x:c r="J27" s="16" t="n">
        <x:f>B27/I27</x:f>
        <x:v>259.96168582375475</x:v>
      </x:c>
      <x:c r="K27" s="18"/>
      <x:c r="L27" s="20" t="n">
        <x:v>0.52</x:v>
      </x:c>
      <x:c r="M27" s="18" t="str">
        <x:f>IF(K27="","",K27*L27)</x:f>
      </x:c>
      <x:c r="N27" s="18" t="str">
        <x:f>IF(M27="","",M27/J27)</x:f>
      </x:c>
      <x:c r="O27" s="14" t="n">
        <x:v>8.25</x:v>
      </x:c>
      <x:c r="P27" s="16" t="n">
        <x:f>B27/O27</x:f>
        <x:v>246.7272727272727</x:v>
      </x:c>
      <x:c r="Q27" s="18" t="n">
        <x:v>7500</x:v>
      </x:c>
      <x:c r="R27" s="20" t="n">
        <x:v>0.5</x:v>
      </x:c>
      <x:c r="S27" s="18" t="n">
        <x:f>IF(Q27="","",Q27*R27)</x:f>
        <x:v>3750</x:v>
      </x:c>
      <x:c r="T27" s="18" t="n">
        <x:f>IF(S27="","",S27/P27)</x:f>
        <x:v>15.198968312453944</x:v>
      </x:c>
    </x:row>
    <x:row r="28">
      <x:c r="A28" t="str">
        <x:v>Trujillo - Chiclayo</x:v>
      </x:c>
      <x:c r="B28" t="n">
        <x:v>1839.9999999999998</x:v>
      </x:c>
      <x:c r="C28" s="14" t="n">
        <x:v>7.87</x:v>
      </x:c>
      <x:c r="D28" s="16" t="n">
        <x:f>B28/C28</x:f>
        <x:v>233.79923761118167</x:v>
      </x:c>
      <x:c r="E28" s="18" t="n">
        <x:v>5250</x:v>
      </x:c>
      <x:c r="F28" s="20" t="n">
        <x:v>0.7</x:v>
      </x:c>
      <x:c r="G28" s="18" t="n">
        <x:f>IF(E28="","",E28*F28)</x:f>
        <x:v>3674.9999999999995</x:v>
      </x:c>
      <x:c r="H28" s="18" t="n">
        <x:f>IF(G28="","",G28/D28)</x:f>
        <x:v>15.718614130434784</x:v>
      </x:c>
      <x:c r="I28" s="14" t="n">
        <x:v>7.83</x:v>
      </x:c>
      <x:c r="J28" s="16" t="n">
        <x:f>B28/I28</x:f>
        <x:v>234.9936143039591</x:v>
      </x:c>
      <x:c r="K28" s="18"/>
      <x:c r="L28" s="20" t="n">
        <x:v>0.52</x:v>
      </x:c>
      <x:c r="M28" s="18" t="str">
        <x:f>IF(K28="","",K28*L28)</x:f>
      </x:c>
      <x:c r="N28" s="18" t="str">
        <x:f>IF(M28="","",M28/J28)</x:f>
      </x:c>
      <x:c r="O28" s="14" t="n">
        <x:v>8.25</x:v>
      </x:c>
      <x:c r="P28" s="16" t="n">
        <x:f>B28/O28</x:f>
        <x:v>223.030303030303</x:v>
      </x:c>
      <x:c r="Q28" s="18" t="n">
        <x:v>6200</x:v>
      </x:c>
      <x:c r="R28" s="20" t="n">
        <x:v>0.5</x:v>
      </x:c>
      <x:c r="S28" s="18" t="n">
        <x:f>IF(Q28="","",Q28*R28)</x:f>
        <x:v>3100</x:v>
      </x:c>
      <x:c r="T28" s="18" t="n">
        <x:f>IF(S28="","",S28/P28)</x:f>
        <x:v>13.899456521739133</x:v>
      </x:c>
    </x:row>
    <x:row r="29">
      <x:c r="A29" t="str">
        <x:v>Trujillo - Piura</x:v>
      </x:c>
      <x:c r="B29" t="n">
        <x:v>2231</x:v>
      </x:c>
      <x:c r="C29" s="14" t="n">
        <x:v>7.87</x:v>
      </x:c>
      <x:c r="D29" s="16" t="n">
        <x:f>B29/C29</x:f>
        <x:v>283.4815756035578</x:v>
      </x:c>
      <x:c r="E29" s="18" t="n">
        <x:v>10500</x:v>
      </x:c>
      <x:c r="F29" s="20" t="n">
        <x:v>0.7</x:v>
      </x:c>
      <x:c r="G29" s="18" t="n">
        <x:f>IF(E29="","",E29*F29)</x:f>
        <x:v>7349.999999999999</x:v>
      </x:c>
      <x:c r="H29" s="18" t="n">
        <x:f>IF(G29="","",G29/D29)</x:f>
        <x:v>25.92761093679964</x:v>
      </x:c>
      <x:c r="I29" s="14" t="n">
        <x:v>7.83</x:v>
      </x:c>
      <x:c r="J29" s="16" t="n">
        <x:f>B29/I29</x:f>
        <x:v>284.9297573435504</x:v>
      </x:c>
      <x:c r="K29" s="18" t="n">
        <x:v>9800</x:v>
      </x:c>
      <x:c r="L29" s="20" t="n">
        <x:v>0.52</x:v>
      </x:c>
      <x:c r="M29" s="18" t="n">
        <x:f>IF(K29="","",K29*L29)</x:f>
        <x:v>5096</x:v>
      </x:c>
      <x:c r="N29" s="18" t="n">
        <x:f>IF(M29="","",M29/J29)</x:f>
        <x:v>17.88510981622591</x:v>
      </x:c>
      <x:c r="O29" s="14" t="n">
        <x:v>8.25</x:v>
      </x:c>
      <x:c r="P29" s="16" t="n">
        <x:f>B29/O29</x:f>
        <x:v>270.42424242424244</x:v>
      </x:c>
      <x:c r="Q29" s="18" t="n">
        <x:v>10000</x:v>
      </x:c>
      <x:c r="R29" s="20" t="n">
        <x:v>0.5</x:v>
      </x:c>
      <x:c r="S29" s="18" t="n">
        <x:f>IF(Q29="","",Q29*R29)</x:f>
        <x:v>5000</x:v>
      </x:c>
      <x:c r="T29" s="18" t="n">
        <x:f>IF(S29="","",S29/P29)</x:f>
        <x:v>18.489466606902734</x:v>
      </x:c>
    </x:row>
  </x:sheetData>
  <x:mergeCells>
    <x:mergeCell ref="A1:T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</x:cols>
  <x:sheetData>
    <x:row r="1">
      <x:c r="A1" s="4" t="str">
        <x:v>Supuesto</x:v>
      </x:c>
      <x:c r="B1" s="4" t="str">
        <x:v>Valor</x:v>
      </x:c>
    </x:row>
    <x:row r="2">
      <x:c r="A2" t="str">
        <x:v>HECARO rendimiento</x:v>
      </x:c>
      <x:c r="B2" t="n">
        <x:v>7.87</x:v>
      </x:c>
    </x:row>
    <x:row r="3">
      <x:c r="A3" t="str">
        <x:v>LMG rendimiento</x:v>
      </x:c>
      <x:c r="B3" t="n">
        <x:v>7.83</x:v>
      </x:c>
    </x:row>
    <x:row r="4">
      <x:c r="A4" t="str">
        <x:v>QOLPARO rendimiento</x:v>
      </x:c>
      <x:c r="B4" t="n">
        <x:v>8.25</x:v>
      </x:c>
    </x:row>
    <x:row r="5">
      <x:c r="A5" t="str">
        <x:v>Unidad</x:v>
      </x:c>
      <x:c r="B5" t="str">
        <x:v>km/galón</x:v>
      </x:c>
    </x:row>
    <x:row r="6">
      <x:c r="A6" t="str">
        <x:v>Factor ida y vuelta</x:v>
      </x:c>
      <x:c r="B6" t="n">
        <x:v>2</x:v>
      </x:c>
    </x:row>
    <x:row r="7">
      <x:c r="A7" t="str">
        <x:v>Factor operativo</x:v>
      </x:c>
      <x:c r="B7" t="n">
        <x:v>1.15</x:v>
      </x:c>
    </x:row>
    <x:row r="8">
      <x:c r="A8" t="str">
        <x:v>HECARO componente combustible</x:v>
      </x:c>
      <x:c r="B8" t="str">
        <x:v>Variable por ruta, sin cambios</x:v>
      </x:c>
    </x:row>
    <x:row r="9">
      <x:c r="A9" t="str">
        <x:v>LMG componente combustible</x:v>
      </x:c>
      <x:c r="B9" s="20" t="n">
        <x:v>0.52</x:v>
      </x:c>
    </x:row>
    <x:row r="10">
      <x:c r="A10" t="str">
        <x:v>QOLPARO componente combustible</x:v>
      </x:c>
      <x:c r="B10" s="20" t="n">
        <x:v>0.5</x:v>
      </x:c>
    </x:row>
    <x:row r="11">
      <x:c r="A11" t="str">
        <x:v>Vigencia histórica</x:v>
      </x:c>
      <x:c r="B11" t="str">
        <x:v>Ene-Mar 2026</x:v>
      </x:c>
    </x:row>
    <x:row r="12">
      <x:c r="A12" t="str">
        <x:v>Vigencia actual</x:v>
      </x:c>
      <x:c r="B12" t="str">
        <x:v>Desde Abr-2026</x:v>
      </x:c>
    </x:row>
  </x:sheetData>
  <x:pageMargins left="0.7" right="0.7" top="0.75" bottom="0.75" header="0.3" footer="0.3"/>
</x:worksheet>
</file>